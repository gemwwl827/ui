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firstSheet="5" activeTab="5"/>
  </bookViews>
  <sheets>
    <sheet name="只有测试场景" sheetId="6" state="hidden" r:id="rId1"/>
    <sheet name="机构组合关系" sheetId="7" state="hidden" r:id="rId2"/>
    <sheet name="风控点及对应场景" sheetId="8" state="hidden" r:id="rId3"/>
    <sheet name="风控单位" sheetId="10" state="hidden" r:id="rId4"/>
    <sheet name="用例库（流水数据）" sheetId="11" state="hidden" r:id="rId5"/>
    <sheet name="债券风控点(二期)" sheetId="12" r:id="rId6"/>
    <sheet name="债券用例库" sheetId="13" r:id="rId7"/>
    <sheet name="基金用例库" sheetId="14" r:id="rId8"/>
    <sheet name="基金风控点(二期)" sheetId="15" r:id="rId9"/>
    <sheet name="数据字典" sheetId="16" r:id="rId10"/>
    <sheet name="风控点" sheetId="17" state="hidden" r:id="rId11"/>
    <sheet name="债券-风控自动化测试（一期）" sheetId="18" state="hidden" r:id="rId12"/>
    <sheet name="基金-风控自动化测试（一期）" sheetId="19" state="hidden" r:id="rId13"/>
    <sheet name="接口自动化（一期）" sheetId="20" state="hidden" r:id="rId14"/>
    <sheet name="人力投入统计" sheetId="23" state="hidden" r:id="rId15"/>
    <sheet name="自动化覆盖范围沟通" sheetId="24" state="hidden" r:id="rId16"/>
    <sheet name="自动化项目计划" sheetId="25" state="hidden" r:id="rId17"/>
    <sheet name="产品体验反馈问题汇总7.2" sheetId="26" state="hidden" r:id="rId18"/>
    <sheet name="产品二期体验问题记录7.17" sheetId="27" state="hidden" r:id="rId19"/>
    <sheet name="test-潘辉" sheetId="28" state="hidden" r:id="rId20"/>
    <sheet name="查询sql" sheetId="29" state="hidden" r:id="rId21"/>
  </sheets>
  <definedNames>
    <definedName name="_xlnm._FilterDatabase" localSheetId="0" hidden="1">只有测试场景!$A$1:$E$160</definedName>
    <definedName name="_xlnm._FilterDatabase" localSheetId="2" hidden="1">风控点及对应场景!$A$1:$F$463</definedName>
    <definedName name="_xlnm._FilterDatabase" localSheetId="11" hidden="1">'债券-风控自动化测试（一期）'!$P$1:$AE$62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tc={2CEC2509-CF1E-4E19-926B-368337038E7F}</author>
    <author>tc={EC440976-E2AA-43F0-B1C9-1125217EF15B}</author>
  </authors>
  <commentList>
    <comment ref="N2" authorId="0">
      <text>
        <r>
          <rPr>
            <sz val="10"/>
            <rFont val="宋体"/>
            <charset val="134"/>
          </rPr>
          <t>债券输入的下拉选择中全称</t>
        </r>
      </text>
    </comment>
    <comment ref="P2" authorId="1">
      <text>
        <r>
          <rPr>
            <sz val="10"/>
            <rFont val="宋体"/>
            <charset val="134"/>
          </rPr>
          <t>交易对手方下拉选择中的全称</t>
        </r>
      </text>
    </comment>
  </commentList>
</comments>
</file>

<file path=xl/comments2.xml><?xml version="1.0" encoding="utf-8"?>
<comments xmlns="http://schemas.openxmlformats.org/spreadsheetml/2006/main">
  <authors>
    <author>tc={4A3F5D55-DBAE-4C09-BE67-337305E228F3}</author>
  </authors>
  <commentList>
    <comment ref="F2" authorId="0">
      <text>
        <r>
          <rPr>
            <sz val="10"/>
            <rFont val="宋体"/>
            <charset val="134"/>
          </rPr>
          <t>预期值 如果只能是数值，不能带单位 如 980万  980元 。  只能写980</t>
        </r>
      </text>
    </comment>
  </commentList>
</comments>
</file>

<file path=xl/sharedStrings.xml><?xml version="1.0" encoding="utf-8"?>
<sst xmlns="http://schemas.openxmlformats.org/spreadsheetml/2006/main" count="6296" uniqueCount="1150">
  <si>
    <t>用例编号</t>
  </si>
  <si>
    <t>核心验证点</t>
  </si>
  <si>
    <t>测试场景</t>
  </si>
  <si>
    <t>说明</t>
  </si>
  <si>
    <t>组合样例</t>
  </si>
  <si>
    <t>case1</t>
  </si>
  <si>
    <t>银行间现券交易</t>
  </si>
  <si>
    <t>多机构/ 多组合/ 单市场/ 银行间现券买卖/ 买入/ T+0/  当天/</t>
  </si>
  <si>
    <t>一个申请单一笔交易</t>
  </si>
  <si>
    <t>A机构+A1组合</t>
  </si>
  <si>
    <t>一个申请单多笔交易</t>
  </si>
  <si>
    <t>A机构+A2组合</t>
  </si>
  <si>
    <t>多机构/ 多组合/ 单市场/ 银行间现券买卖/ 卖出/ T+0/  当天/</t>
  </si>
  <si>
    <t>多机构/ 多组合/ 单市场/ 银行间现券买卖/ 买入/ T+1/  跨天/</t>
  </si>
  <si>
    <t>B机构+B1组合</t>
  </si>
  <si>
    <t>多机构/ 多组合/ 单市场/ 银行间现券买卖/ 卖出/ T+1/  跨天/</t>
  </si>
  <si>
    <t>B机构+B2组合</t>
  </si>
  <si>
    <t>银行间现券买卖+不同权限的组合</t>
  </si>
  <si>
    <t>角色【张三】只有A1和A2权限</t>
  </si>
  <si>
    <t>张三：A机构+A1组合</t>
  </si>
  <si>
    <t>张三：A机构+A2组合</t>
  </si>
  <si>
    <t>角色【李四】只有A3和A4权限</t>
  </si>
  <si>
    <t>李四：A机构+A3组合</t>
  </si>
  <si>
    <t xml:space="preserve"> </t>
  </si>
  <si>
    <t>李四：A机构+A4组合</t>
  </si>
  <si>
    <t>case2</t>
  </si>
  <si>
    <t>银行间买断式回购交易</t>
  </si>
  <si>
    <t>多机构/ 多组合/ 单市场/ 银行间买断式回购/  逆回购/ T+0/ 跨天/</t>
  </si>
  <si>
    <t>多机构/ 多组合/ 单市场/ 银行间买断式回购/  正回购/ T+0/ 跨天/</t>
  </si>
  <si>
    <t>多机构/ 多组合/ 单市场/ 银行间买断式回购/  逆回购/ T+1/ 当天/</t>
  </si>
  <si>
    <t>多机构/ 多组合/ 单市场/ 银行间买断式回购/  正回购/ T+1/ 当天/</t>
  </si>
  <si>
    <t>case3</t>
  </si>
  <si>
    <t>银行间质押式回购交易</t>
  </si>
  <si>
    <t>多机构/ 多组合/ 单市场/ 银行间质押式回购/ 逆回购/ T+0/ 当天/</t>
  </si>
  <si>
    <t>多机构/ 多组合/ 单市场/ 银行间质押式回购/ 正回购/ T+0/ 当天/</t>
  </si>
  <si>
    <t>多机构/ 多组合/ 单市场/ 银行间质押式回购/ 逆回购/ T+1/ 跨天/</t>
  </si>
  <si>
    <t>多机构/ 多组合/ 单市场/ 银行间质押式回购/ 正回购/ T+1/ 跨天/</t>
  </si>
  <si>
    <t>case4</t>
  </si>
  <si>
    <t>银行间债券借贷交易</t>
  </si>
  <si>
    <t>多机构/ 多组合/ 单市场/ 银行间债券借贷/ 融入/ T+0/ 当天/</t>
  </si>
  <si>
    <t>1、融入检查质押券，融出检查标的券
2、产品化不支持，等支持后再覆盖</t>
  </si>
  <si>
    <t>多机构/ 多组合/ 单市场/ 银行间债券借贷/ 融出/ T+0/ 当天/</t>
  </si>
  <si>
    <t>多机构/ 多组合/ 单市场/ 银行间债券借贷/ 融入/ T+1/ 跨天/</t>
  </si>
  <si>
    <t>多机构/ 多组合/ 单市场/ 银行间债券借贷/ 融出/ T+1/ 跨天/</t>
  </si>
  <si>
    <t>case5</t>
  </si>
  <si>
    <t>交易所现券买卖交易</t>
  </si>
  <si>
    <t>多机构/ 多组合/ 单市场/ 交易所现券买卖/ 买入/ T+0/ 跨天/</t>
  </si>
  <si>
    <t>多机构/ 多组合/ 单市场/ 交易所现券买卖/ 卖出/ T+0/ 跨天/</t>
  </si>
  <si>
    <t>多机构/ 多组合/ 单市场/ 交易所现券买卖/ 买入/ T+1/ 当天/</t>
  </si>
  <si>
    <t>多机构/ 多组合/ 单市场/ 交易所现券买卖/ 卖出/ T+1/ 当天/</t>
  </si>
  <si>
    <t>case6</t>
  </si>
  <si>
    <t>交易所债券借贷交易</t>
  </si>
  <si>
    <t>多机构/ 多组合/ 单市场/ 交易所债券借贷/ 融入/ T+0/ 当天/</t>
  </si>
  <si>
    <t>多机构/ 多组合/ 单市场/ 交易所债券借贷/ 融出/ T+0/ 当天/</t>
  </si>
  <si>
    <t>多机构/ 多组合/ 单市场/ 交易所债券借贷/ 融入/ T+1/ 跨天/</t>
  </si>
  <si>
    <t>多机构/ 多组合/ 单市场/ 交易所债券借贷/ 融出/ T+1/ 跨天/</t>
  </si>
  <si>
    <t>case7</t>
  </si>
  <si>
    <t>交易所协议式回购交易</t>
  </si>
  <si>
    <t>多机构/ 多组合/ 单市场/ 交易所协议式回购/ 逆回购/ T+0/ 当天/</t>
  </si>
  <si>
    <t>多机构/ 多组合/ 单市场/ 交易所协议式回购/ 正回购/ T+0/ 当天/</t>
  </si>
  <si>
    <t>多机构/ 多组合/ 单市场/ 交易所协议式回购/ 逆回购/ T+1/ 跨天/</t>
  </si>
  <si>
    <t>多机构/ 多组合/ 单市场/ 交易所协议式回购/ 正回购/ T+1/ 跨天/</t>
  </si>
  <si>
    <t>case8</t>
  </si>
  <si>
    <t>交易所质押式回购交易</t>
  </si>
  <si>
    <t>多机构/ 多组合/ 单市场/ 交易所质押式回购/ 逆回购/ T+0/ 当天/</t>
  </si>
  <si>
    <t>多机构/ 多组合/ 单市场/ 交易所质押式回购/ 正回购/ T+0/ 当天/</t>
  </si>
  <si>
    <t>多机构/ 多组合/ 单市场/ 交易所质押式回购/ 逆回购/ T+1/ 跨天/</t>
  </si>
  <si>
    <t>多机构/ 多组合/ 单市场/ 交易所质押式回购/ 正回购/ T+1/ 跨天/</t>
  </si>
  <si>
    <t>case9</t>
  </si>
  <si>
    <t>场内基金交易</t>
  </si>
  <si>
    <t>多机构/ 多组合/ 单市场/ 场内基金/ 申购/ 当天/</t>
  </si>
  <si>
    <t>多机构/ 多组合/ 单市场/ 场内基金/ 赎回/ 跨天/</t>
  </si>
  <si>
    <t>case10</t>
  </si>
  <si>
    <t>多机构/ 多组合/ 单市场/ 场内基金/ 买入/ 当天/</t>
  </si>
  <si>
    <t>多机构/ 多组合/ 单市场/ 场内基金/ 卖出/ 跨天/</t>
  </si>
  <si>
    <t>场外基金交易</t>
  </si>
  <si>
    <t>多机构/ 多组合/ 单市场/ 场外基金/ 申购/ 当天/</t>
  </si>
  <si>
    <t>多机构/ 多组合/ 单市场/ 场外基金/ 认购/ 跨天/</t>
  </si>
  <si>
    <t>多机构/ 多组合/ 单市场/ 场外基金/ 赎回/ 当天/</t>
  </si>
  <si>
    <t>多机构/ 多组合/ 单市场/ 场外基金/ 申购/ 跨天/</t>
  </si>
  <si>
    <t>多机构/ 多组合/ 单市场/ 场外基金/ 赎回/ 跨天/</t>
  </si>
  <si>
    <t>case12</t>
  </si>
  <si>
    <t>银行间组合交易</t>
  </si>
  <si>
    <t>case13</t>
  </si>
  <si>
    <t>买断式回购+银行间现券</t>
  </si>
  <si>
    <t>单机构/ 多组合/ 单市场/ 银行间买断式回购/  逆回购/ T+0/ 跨天/</t>
  </si>
  <si>
    <t>单机构/ 多组合/ 单市场/ 银行间买断式回购/  正回购/ T+1/ 当天/</t>
  </si>
  <si>
    <t>有剩余持仓</t>
  </si>
  <si>
    <t>单机构/ 多组合/ 单市场/ 银行间现券买卖/ 买入/ T+0/  当天/</t>
  </si>
  <si>
    <t>买入部分</t>
  </si>
  <si>
    <t>单机构/ 多组合/</t>
  </si>
  <si>
    <t>单机构/ 多组合/ 单市场/ 银行间现券买卖/ 买入/ T+1/  当天/</t>
  </si>
  <si>
    <t>买入剩余部分</t>
  </si>
  <si>
    <t>单机构/ 多组合/ 单市场/ 银行间现券买卖/ 卖出/ T+1/  跨天/</t>
  </si>
  <si>
    <t>卖出部分</t>
  </si>
  <si>
    <t>卖出全部</t>
  </si>
  <si>
    <t>分销买卖+银行间现券+资管组合</t>
  </si>
  <si>
    <t>分销买卖-买入</t>
  </si>
  <si>
    <t>分销买卖-卖出</t>
  </si>
  <si>
    <t>资管 单机构/ 多组合/</t>
  </si>
  <si>
    <t>多机构/ 多组合/ 单市场/ 银行间现券买卖/ 买入/ T+1/  当天/</t>
  </si>
  <si>
    <t>case14</t>
  </si>
  <si>
    <t>分销买卖+银行间现券</t>
  </si>
  <si>
    <t>case15</t>
  </si>
  <si>
    <t>债券借贷+银行间现券</t>
  </si>
  <si>
    <t>case16</t>
  </si>
  <si>
    <t>交易所组合交易</t>
  </si>
  <si>
    <t>case17</t>
  </si>
  <si>
    <t>分销买卖+交易所现券</t>
  </si>
  <si>
    <t>单机构/ 多组合/ 单市场/ 交易所现券买卖/ 买入/ T+0/  当天/</t>
  </si>
  <si>
    <t>单机构/ 多组合/ 单市场/ 交易所现券买卖/ 买入/ T+1/  当天/</t>
  </si>
  <si>
    <t>单机构/ 多组合/ 单市场/ 交易所现券买卖/ 卖出/ T+1/  跨天/</t>
  </si>
  <si>
    <t>case18</t>
  </si>
  <si>
    <t>债券借贷+交易所现券</t>
  </si>
  <si>
    <t>case19</t>
  </si>
  <si>
    <t>银行间+交易所+债转股+跨市场</t>
  </si>
  <si>
    <t>债转股</t>
  </si>
  <si>
    <t>case20</t>
  </si>
  <si>
    <t>银行间+交易所+转托管+跨市场</t>
  </si>
  <si>
    <t>转托管</t>
  </si>
  <si>
    <t>全部卖出</t>
  </si>
  <si>
    <t>case21</t>
  </si>
  <si>
    <t>银行间+交易所+分销买卖+转托管+跨市场</t>
  </si>
  <si>
    <t>case23</t>
  </si>
  <si>
    <t>银行间现券+债券提前还本+债券到期</t>
  </si>
  <si>
    <t>内部交易</t>
  </si>
  <si>
    <t>转出</t>
  </si>
  <si>
    <t>转入</t>
  </si>
  <si>
    <t>债券付息</t>
  </si>
  <si>
    <t>债券提前还本（还本50%）减少面额</t>
  </si>
  <si>
    <t>事后风控</t>
  </si>
  <si>
    <t>case24</t>
  </si>
  <si>
    <t>场内基金申赎/买卖</t>
  </si>
  <si>
    <t>case25</t>
  </si>
  <si>
    <t>场内基金申赎/买卖+场外基金申购认购赎回</t>
  </si>
  <si>
    <t>case26</t>
  </si>
  <si>
    <t>场内基金申赎/买卖+分红+基金转换</t>
  </si>
  <si>
    <t>分红转份额</t>
  </si>
  <si>
    <t>折算</t>
  </si>
  <si>
    <t>分红</t>
  </si>
  <si>
    <t>不影响风控</t>
  </si>
  <si>
    <t>基金转换</t>
  </si>
  <si>
    <t>场内批量基金交易</t>
  </si>
  <si>
    <t>case27</t>
  </si>
  <si>
    <t>场外基金申赎/买卖+分红+基金转换</t>
  </si>
  <si>
    <t>强减</t>
  </si>
  <si>
    <t>机构</t>
  </si>
  <si>
    <t>组合</t>
  </si>
  <si>
    <t>A机构</t>
  </si>
  <si>
    <t>A1组合</t>
  </si>
  <si>
    <t>角色【张三】只有A1和A2权限，A1和A2组合的变动，也要统计A3和A4，反之也一样</t>
  </si>
  <si>
    <t>A2组合</t>
  </si>
  <si>
    <t>A3组合</t>
  </si>
  <si>
    <t>A4组合</t>
  </si>
  <si>
    <t>B机构</t>
  </si>
  <si>
    <t>B1组合</t>
  </si>
  <si>
    <t>B2组合</t>
  </si>
  <si>
    <t>C机构</t>
  </si>
  <si>
    <t>C组合</t>
  </si>
  <si>
    <t>风控点</t>
  </si>
  <si>
    <t>对应用例编号</t>
  </si>
  <si>
    <t>单券集中度</t>
  </si>
  <si>
    <t>银行间现券买卖+不同权限组合</t>
  </si>
  <si>
    <t>债券可用检查</t>
  </si>
  <si>
    <t>UAC1</t>
  </si>
  <si>
    <t>UAC2</t>
  </si>
  <si>
    <t>债券投资总规模检查</t>
  </si>
  <si>
    <t>逆回购投资总规模检查</t>
  </si>
  <si>
    <t>基金投资总规模检查</t>
  </si>
  <si>
    <t>场内基金申赎交易</t>
  </si>
  <si>
    <t>场内基金买卖交易</t>
  </si>
  <si>
    <t>场外基金申赎认购交易</t>
  </si>
  <si>
    <t>组合基金持仓规模检查</t>
  </si>
  <si>
    <t>单基金持仓规模检查</t>
  </si>
  <si>
    <t>计算值</t>
  </si>
  <si>
    <t>7.29年</t>
  </si>
  <si>
    <t>风控配置</t>
  </si>
  <si>
    <t>申请单编号（草稿）</t>
  </si>
  <si>
    <t>债券持仓量(万)</t>
  </si>
  <si>
    <t>流通量(万)</t>
  </si>
  <si>
    <t>集中度(%)</t>
  </si>
  <si>
    <t>债券投资总规模(万)</t>
  </si>
  <si>
    <t>托管持仓</t>
  </si>
  <si>
    <t>托管可用</t>
  </si>
  <si>
    <t>财务持仓</t>
  </si>
  <si>
    <t>交易日期</t>
  </si>
  <si>
    <t>债券代码</t>
  </si>
  <si>
    <t>债券全称</t>
  </si>
  <si>
    <t>交易对手方</t>
  </si>
  <si>
    <t>交易对手方全称</t>
  </si>
  <si>
    <t>净价(元)</t>
  </si>
  <si>
    <t>交易面额(万元)</t>
  </si>
  <si>
    <t>全价</t>
  </si>
  <si>
    <t>结算金额(元)</t>
  </si>
  <si>
    <t>到期收益率(%)</t>
  </si>
  <si>
    <t>行权收益率(%)</t>
  </si>
  <si>
    <t>首次结算金额（元）</t>
  </si>
  <si>
    <t>到期结算金额（元）</t>
  </si>
  <si>
    <t>清算速度</t>
  </si>
  <si>
    <t>应计利息（元）</t>
  </si>
  <si>
    <t>利息总额（元）</t>
  </si>
  <si>
    <t>报价方式</t>
  </si>
  <si>
    <t>回购期限(天)</t>
  </si>
  <si>
    <t>回购利率（%）</t>
  </si>
  <si>
    <t>回购利率值</t>
  </si>
  <si>
    <t>质押债券代码</t>
  </si>
  <si>
    <t>质押债券全称</t>
  </si>
  <si>
    <t>回购金额(元)</t>
  </si>
  <si>
    <t>资金分配(组合)</t>
  </si>
  <si>
    <t>登录账号</t>
  </si>
  <si>
    <t>是否修改数据库状态</t>
  </si>
  <si>
    <t>申请单编号</t>
  </si>
  <si>
    <t>子申请单号</t>
  </si>
  <si>
    <t>机构A组合A</t>
  </si>
  <si>
    <t>UAC自动化001</t>
  </si>
  <si>
    <t>2271559.IB</t>
  </si>
  <si>
    <t>22安徽债55</t>
  </si>
  <si>
    <t>中融信托朱雀12期</t>
  </si>
  <si>
    <t>T+0</t>
  </si>
  <si>
    <t>对话报价</t>
  </si>
  <si>
    <t>海通证券中债登账户_中债登账户_900610000012001</t>
  </si>
  <si>
    <t>祝杨</t>
  </si>
  <si>
    <t>N</t>
  </si>
  <si>
    <t>机构A组合AB</t>
  </si>
  <si>
    <t>6000.00
1000.00</t>
  </si>
  <si>
    <t>743202.00
743202.00</t>
  </si>
  <si>
    <t>0.81%
0.13%</t>
  </si>
  <si>
    <t>59474040.00
9912340.00</t>
  </si>
  <si>
    <t>UAC自动化001
UAC自动化002</t>
  </si>
  <si>
    <t>4000.00
1000.00</t>
  </si>
  <si>
    <t xml:space="preserve">
743202.00</t>
  </si>
  <si>
    <t>T+1</t>
  </si>
  <si>
    <t>机构B组合C</t>
  </si>
  <si>
    <t>UAC自动化003</t>
  </si>
  <si>
    <t>兴业基金嘉兴银行1号中债资金账户_兴业基金嘉兴银行1号中债开户行_00000011</t>
  </si>
  <si>
    <t>用户B没有组合ABC的权限，组合D买入</t>
  </si>
  <si>
    <t>UAC自动化005</t>
  </si>
  <si>
    <t>外经贸信托汇鑫33号</t>
  </si>
  <si>
    <t>sushan</t>
  </si>
  <si>
    <t>用户B没有组合ABC的权限，组合D卖出</t>
  </si>
  <si>
    <t>UAC3自动化001</t>
  </si>
  <si>
    <t>要覆盖上证和深证的股票</t>
  </si>
  <si>
    <t>执行序号</t>
  </si>
  <si>
    <t>风控类型</t>
  </si>
  <si>
    <t>检查点名称</t>
  </si>
  <si>
    <t>检查结果</t>
  </si>
  <si>
    <t>预期值</t>
  </si>
  <si>
    <t>提交阶段预期值</t>
  </si>
  <si>
    <t>审批阶段预期值</t>
  </si>
  <si>
    <t>阶段</t>
  </si>
  <si>
    <t>指令序号</t>
  </si>
  <si>
    <t>指令模式</t>
  </si>
  <si>
    <t>场景类型</t>
  </si>
  <si>
    <t>配对ID</t>
  </si>
  <si>
    <t>223_001</t>
  </si>
  <si>
    <t>单券集中度检查</t>
  </si>
  <si>
    <t>通过</t>
  </si>
  <si>
    <t>231_001</t>
  </si>
  <si>
    <t>223_002</t>
  </si>
  <si>
    <t>323_001</t>
  </si>
  <si>
    <t>702_001</t>
  </si>
  <si>
    <t>223_003</t>
  </si>
  <si>
    <t>702_002</t>
  </si>
  <si>
    <t>231_002</t>
  </si>
  <si>
    <t>323_002</t>
  </si>
  <si>
    <t>323_003</t>
  </si>
  <si>
    <t>223_004</t>
  </si>
  <si>
    <t>卖出不检查</t>
  </si>
  <si>
    <t>702_003</t>
  </si>
  <si>
    <t>323_004</t>
  </si>
  <si>
    <t>223_005</t>
  </si>
  <si>
    <t>702_004</t>
  </si>
  <si>
    <t>231_003</t>
  </si>
  <si>
    <t>禁止</t>
  </si>
  <si>
    <t>323_005</t>
  </si>
  <si>
    <t>预警</t>
  </si>
  <si>
    <t>223_006</t>
  </si>
  <si>
    <t>不触发</t>
  </si>
  <si>
    <t>223_007</t>
  </si>
  <si>
    <t>323_006</t>
  </si>
  <si>
    <t>702_005</t>
  </si>
  <si>
    <t>226_001</t>
  </si>
  <si>
    <t>231_004</t>
  </si>
  <si>
    <t>327_001</t>
  </si>
  <si>
    <t>223_008</t>
  </si>
  <si>
    <t>323_007</t>
  </si>
  <si>
    <t>702_006</t>
  </si>
  <si>
    <t>226_002</t>
  </si>
  <si>
    <t>231_005</t>
  </si>
  <si>
    <t>327_002</t>
  </si>
  <si>
    <t>223_009</t>
  </si>
  <si>
    <t>323_008</t>
  </si>
  <si>
    <t>702_007</t>
  </si>
  <si>
    <t>226_003</t>
  </si>
  <si>
    <t>231_006</t>
  </si>
  <si>
    <t>警告</t>
  </si>
  <si>
    <t>327_003</t>
  </si>
  <si>
    <t>323_009</t>
  </si>
  <si>
    <t>223_010</t>
  </si>
  <si>
    <t>323_010</t>
  </si>
  <si>
    <t>223_011</t>
  </si>
  <si>
    <t>323_011</t>
  </si>
  <si>
    <t>323_012</t>
  </si>
  <si>
    <t>223_012</t>
  </si>
  <si>
    <t>323_013</t>
  </si>
  <si>
    <t>231_007</t>
  </si>
  <si>
    <t>1031.11万</t>
  </si>
  <si>
    <t>326_001</t>
  </si>
  <si>
    <t>2,013.11万</t>
  </si>
  <si>
    <t>327_004</t>
  </si>
  <si>
    <t>231_008</t>
  </si>
  <si>
    <t>231_009</t>
  </si>
  <si>
    <t>326_002</t>
  </si>
  <si>
    <t>326_003</t>
  </si>
  <si>
    <t>327_005</t>
  </si>
  <si>
    <t>327_006</t>
  </si>
  <si>
    <t>223_025</t>
  </si>
  <si>
    <t>单券集中度检查_多指令</t>
  </si>
  <si>
    <t>multi</t>
  </si>
  <si>
    <t>323_024</t>
  </si>
  <si>
    <t>223_026</t>
  </si>
  <si>
    <t>单券集中度检查_审批中</t>
  </si>
  <si>
    <t>提交</t>
  </si>
  <si>
    <t>A-B-approveA</t>
  </si>
  <si>
    <t>323_028</t>
  </si>
  <si>
    <t>审批</t>
  </si>
  <si>
    <t>223_013</t>
  </si>
  <si>
    <t>组合DV01检查</t>
  </si>
  <si>
    <t>323_014</t>
  </si>
  <si>
    <t>组合债券浮盈检查</t>
  </si>
  <si>
    <t>223_015</t>
  </si>
  <si>
    <t>组合久期检查</t>
  </si>
  <si>
    <t>323_016</t>
  </si>
  <si>
    <t>702_008</t>
  </si>
  <si>
    <t>223_016</t>
  </si>
  <si>
    <t>债券交易价格偏离检查</t>
  </si>
  <si>
    <t>323_017</t>
  </si>
  <si>
    <t>223_017</t>
  </si>
  <si>
    <t>323_018</t>
  </si>
  <si>
    <t>223_018</t>
  </si>
  <si>
    <t>债券投资范围检查</t>
  </si>
  <si>
    <t>323_030</t>
  </si>
  <si>
    <t>702_009</t>
  </si>
  <si>
    <t>223_033</t>
  </si>
  <si>
    <t>223_034</t>
  </si>
  <si>
    <t>223_036</t>
  </si>
  <si>
    <t>223_037</t>
  </si>
  <si>
    <t>223_019</t>
  </si>
  <si>
    <t>永续债检查</t>
  </si>
  <si>
    <t>323_019</t>
  </si>
  <si>
    <t>702_010</t>
  </si>
  <si>
    <t>223_020</t>
  </si>
  <si>
    <t>反向交易检查</t>
  </si>
  <si>
    <t>223_027</t>
  </si>
  <si>
    <t>323_020</t>
  </si>
  <si>
    <t>323_025</t>
  </si>
  <si>
    <t>223_021</t>
  </si>
  <si>
    <t>同向交易检查</t>
  </si>
  <si>
    <t>223_028</t>
  </si>
  <si>
    <t>323_026</t>
  </si>
  <si>
    <t>323_029</t>
  </si>
  <si>
    <t>323_027</t>
  </si>
  <si>
    <t>223_030</t>
  </si>
  <si>
    <t>223_022</t>
  </si>
  <si>
    <t>债券黑名单检查</t>
  </si>
  <si>
    <t>323_022</t>
  </si>
  <si>
    <t>702_011</t>
  </si>
  <si>
    <t>223_023</t>
  </si>
  <si>
    <t>债券主承销商检查</t>
  </si>
  <si>
    <t>323_023</t>
  </si>
  <si>
    <t>702_012</t>
  </si>
  <si>
    <t>702_013</t>
  </si>
  <si>
    <t>编写人员</t>
  </si>
  <si>
    <t>风控执行顺序</t>
  </si>
  <si>
    <t>业务类型</t>
  </si>
  <si>
    <t>交易方向</t>
  </si>
  <si>
    <t>全价(元)</t>
  </si>
  <si>
    <t>首次净价(元)</t>
  </si>
  <si>
    <t>中标利率(%)</t>
  </si>
  <si>
    <r>
      <rPr>
        <b/>
        <sz val="11"/>
        <color rgb="FFC00000"/>
        <rFont val="宋体"/>
        <charset val="134"/>
      </rPr>
      <t>回购期限(天)</t>
    </r>
    <r>
      <rPr>
        <sz val="11"/>
        <color rgb="FFC00000"/>
        <rFont val="宋体"/>
        <charset val="134"/>
      </rPr>
      <t xml:space="preserve">
</t>
    </r>
  </si>
  <si>
    <r>
      <rPr>
        <b/>
        <sz val="11"/>
        <color rgb="FFC00000"/>
        <rFont val="宋体"/>
        <charset val="134"/>
      </rPr>
      <t>回购利率(%)</t>
    </r>
    <r>
      <rPr>
        <sz val="11"/>
        <color rgb="FFC00000"/>
        <rFont val="宋体"/>
        <charset val="134"/>
      </rPr>
      <t xml:space="preserve">
</t>
    </r>
  </si>
  <si>
    <t>操作模式(多个指令)</t>
  </si>
  <si>
    <t>借贷费率(%)</t>
  </si>
  <si>
    <t>借贷期限(天)</t>
  </si>
  <si>
    <t>拆借期限(天)</t>
  </si>
  <si>
    <t>拆借利率(%)</t>
  </si>
  <si>
    <r>
      <rPr>
        <b/>
        <sz val="11"/>
        <color rgb="FF000000"/>
        <rFont val="宋体"/>
        <charset val="134"/>
      </rPr>
      <t>拆借金额</t>
    </r>
    <r>
      <rPr>
        <b/>
        <sz val="9"/>
        <color rgb="FF067D17"/>
        <rFont val="Courier New"/>
        <charset val="134"/>
      </rPr>
      <t>(</t>
    </r>
    <r>
      <rPr>
        <b/>
        <sz val="9"/>
        <color rgb="FF067D17"/>
        <rFont val="宋体"/>
        <charset val="134"/>
      </rPr>
      <t>万元</t>
    </r>
    <r>
      <rPr>
        <b/>
        <sz val="9"/>
        <color rgb="FF067D17"/>
        <rFont val="Courier New"/>
        <charset val="134"/>
      </rPr>
      <t>)</t>
    </r>
  </si>
  <si>
    <t>余枝梅</t>
  </si>
  <si>
    <t>REQ-20250711-00319</t>
  </si>
  <si>
    <t>系统前2个工作日买</t>
  </si>
  <si>
    <t>统计维度：A机构下的A和B组合；检查对象：A机构下的A和B组合，B机构下的C组合;债券类型为非利率债，流通量不为空</t>
  </si>
  <si>
    <t>2380108.IB
20250704</t>
  </si>
  <si>
    <t>银行间现券买卖</t>
  </si>
  <si>
    <t>买入</t>
  </si>
  <si>
    <t>UI自动化A机构A部门101</t>
  </si>
  <si>
    <t>2380108.IB</t>
  </si>
  <si>
    <t>23龙岩经发债【2380108.IB】</t>
  </si>
  <si>
    <t>国投信托佑瑞持12号</t>
  </si>
  <si>
    <t>国投信托佑瑞持12号【国投信托佑瑞持12号强化收益分红型集合资金信托】</t>
  </si>
  <si>
    <t>uaczy</t>
  </si>
  <si>
    <t>REQ-20250708-00307</t>
  </si>
  <si>
    <t>系统前1个工作日买</t>
  </si>
  <si>
    <t>2380108.IB
20250707</t>
  </si>
  <si>
    <t>银行间买断式回购</t>
  </si>
  <si>
    <t>逆回购</t>
  </si>
  <si>
    <t>UI自动化A机构A部门102</t>
  </si>
  <si>
    <t>五矿证券臻金1号</t>
  </si>
  <si>
    <t>五矿证券臻金1号【五矿证券-臻金1号债券投资集合资产管理计划】</t>
  </si>
  <si>
    <t>REQ-20250708-00310</t>
  </si>
  <si>
    <t>系统前1个工作日卖</t>
  </si>
  <si>
    <t>REQ-20250708-00340</t>
  </si>
  <si>
    <t>184769.SH
20250707</t>
  </si>
  <si>
    <t>交易所现券买卖</t>
  </si>
  <si>
    <t>184769.SH</t>
  </si>
  <si>
    <t>23龙经债【184769.SH】</t>
  </si>
  <si>
    <t>REQ-20250708-00316</t>
  </si>
  <si>
    <t>分销买卖</t>
  </si>
  <si>
    <t>REQ-20250708-00318</t>
  </si>
  <si>
    <t>系统当日已买</t>
  </si>
  <si>
    <t>2380108.IB
20250708</t>
  </si>
  <si>
    <t>REQ-20250708-00322</t>
  </si>
  <si>
    <t>袁聪慧</t>
  </si>
  <si>
    <t>REQ-20250708-00314</t>
  </si>
  <si>
    <t>华林证券汇银43号</t>
  </si>
  <si>
    <t>华林证券汇银43号【华林证券汇银43号定向资产管理计划】</t>
  </si>
  <si>
    <t>REQ-20250709-00074</t>
  </si>
  <si>
    <t>系统当日已买,B机构下的C组合买入</t>
  </si>
  <si>
    <t>184769.SH
20250708</t>
  </si>
  <si>
    <t>UI自动化B机构A部门101</t>
  </si>
  <si>
    <t>REQ-20250708-00343</t>
  </si>
  <si>
    <t>REQ-20250708-00326</t>
  </si>
  <si>
    <t>系统当日已卖</t>
  </si>
  <si>
    <t>卖出</t>
  </si>
  <si>
    <t>REQ-20250708-00333</t>
  </si>
  <si>
    <t>REQ-20250708-00345</t>
  </si>
  <si>
    <t>REQ-20250708-00327</t>
  </si>
  <si>
    <t>系统当日买</t>
  </si>
  <si>
    <t>REQ-20250708-00329</t>
  </si>
  <si>
    <t>REQ-20250708-00347</t>
  </si>
  <si>
    <t>国开泰富万联大盈3号</t>
  </si>
  <si>
    <t>REQ-20250708-00349</t>
  </si>
  <si>
    <t>REQ-20250714-00023</t>
  </si>
  <si>
    <t>统计维度：A机构下的A和B组合；检查对象：A机构下的A和B组合，B机构下的C组合</t>
  </si>
  <si>
    <t>2080224.IB
20250704</t>
  </si>
  <si>
    <t>UI自动化A机构A部门201</t>
  </si>
  <si>
    <t>2080224.IB</t>
  </si>
  <si>
    <t>20苹投专项债【2080224.IB】</t>
  </si>
  <si>
    <t>REQ-20250714-00025</t>
  </si>
  <si>
    <t>系统前2个工作日卖</t>
  </si>
  <si>
    <t>REQ-20250714-00027</t>
  </si>
  <si>
    <t>152569.SH
20250707</t>
  </si>
  <si>
    <t>152569.SH</t>
  </si>
  <si>
    <t>20萍城投【152569.SH】</t>
  </si>
  <si>
    <t>REQ-20250714-00034</t>
  </si>
  <si>
    <t>REQ-20250714-00035</t>
  </si>
  <si>
    <t>银行间质押式回购</t>
  </si>
  <si>
    <t>REQ-20250714-00073</t>
  </si>
  <si>
    <t>REQ-20250714-00074</t>
  </si>
  <si>
    <t>交易所协议式回购</t>
  </si>
  <si>
    <t>REQ-20250714-00079</t>
  </si>
  <si>
    <t>UI自动化A机构A部门202</t>
  </si>
  <si>
    <t>REQ-20250714-00085</t>
  </si>
  <si>
    <t>REQ-20250714-00086</t>
  </si>
  <si>
    <t>REQ-20250714-00087</t>
  </si>
  <si>
    <t>REQ-20250714-00088</t>
  </si>
  <si>
    <t>REQ-20250714-00089</t>
  </si>
  <si>
    <t>REQ-20250714-00093</t>
  </si>
  <si>
    <t>系统当日卖</t>
  </si>
  <si>
    <t>REQ-20250714-00095</t>
  </si>
  <si>
    <t>REQ-20250714-00096</t>
  </si>
  <si>
    <t>REQ-20250714-00098</t>
  </si>
  <si>
    <t>正回购</t>
  </si>
  <si>
    <t>REQ-20250714-00101</t>
  </si>
  <si>
    <t>REQ-20250714-00100</t>
  </si>
  <si>
    <t>REQ-20250714-00103</t>
  </si>
  <si>
    <t>系统当日卖,B机构下的C组合卖出</t>
  </si>
  <si>
    <t>UI自动化B机构A部门201</t>
  </si>
  <si>
    <t>REQ-20250714-00106</t>
  </si>
  <si>
    <t>统计维度：A机构下的C组合；检查对象：A机构下的C组合，B机构下的C组合</t>
  </si>
  <si>
    <t>UI自动化A机构A部门301</t>
  </si>
  <si>
    <t>2380311.IB</t>
  </si>
  <si>
    <t>23三峡绿色债02【2380311.IB】</t>
  </si>
  <si>
    <t>REQ-20250714-00121</t>
  </si>
  <si>
    <t>271001.SH</t>
  </si>
  <si>
    <t>G23三峡2【271001.SH】</t>
  </si>
  <si>
    <t>REQ-20250714-00122</t>
  </si>
  <si>
    <t>REQ-20250714-00124</t>
  </si>
  <si>
    <t>REQ-20250714-00135</t>
  </si>
  <si>
    <t>UI自动化A机构B部门301</t>
  </si>
  <si>
    <t>REQ-20250714-00137</t>
  </si>
  <si>
    <t>REQ-20250714-00140</t>
  </si>
  <si>
    <t>逆回购投资总规模</t>
  </si>
  <si>
    <t>UI自动化A机构A部门401</t>
  </si>
  <si>
    <t>交易所质押式回购</t>
  </si>
  <si>
    <t>场景：交易日期当日，该债券有中债推荐估值。 DV01＜阈值（ 组合DV01为0.79万）
计算公式：持仓债券券面总额1*中债推荐估值PV01/100+持仓债券券面总额2*中债推荐估值PV01/100+.··</t>
  </si>
  <si>
    <t>统计维度：A机构下的A组合</t>
  </si>
  <si>
    <t>注：若该债券缺少估值，系统提示组合DV01为空，请维护基础数据，缺失估值债券为2371125.IB！</t>
  </si>
  <si>
    <t>UI自动化A机构A部门701</t>
  </si>
  <si>
    <t>2371125.IB</t>
  </si>
  <si>
    <t>23山西债45【2371125.IB】</t>
  </si>
  <si>
    <t>场景：交易日期当日，该债券有中债推荐估值。DV01＞阈值（组合DV01为2.44万）</t>
  </si>
  <si>
    <t>019813.SH</t>
  </si>
  <si>
    <t>08国债13【019813.SH】</t>
  </si>
  <si>
    <t>223_032</t>
  </si>
  <si>
    <t>场景：组合持仓净价市值不为空，大于阈值2%，小于阈值3% ：警告（组合的持仓净价成本为1100.00万元，组合的持仓净价市值为1073.89万元，浮盈比为2.37%）</t>
  </si>
  <si>
    <t>UI自动化A机构A部门801</t>
  </si>
  <si>
    <t>323_031</t>
  </si>
  <si>
    <t>场景：组合持仓净价市值不为空，小于阈值1%：通过（组合的持仓净价成本为4950.00万元，组合的持仓净价市值为5635.39万元，浮盈比为-13.85%）</t>
  </si>
  <si>
    <t>T+2</t>
  </si>
  <si>
    <t>223_035</t>
  </si>
  <si>
    <t>场景：组合持仓净价市值不为空，大于阈值1%，小于阈值2%：预警</t>
  </si>
  <si>
    <t>323_033</t>
  </si>
  <si>
    <t>场景：组合持仓净价市值不为空，大于阈值3%：禁止</t>
  </si>
  <si>
    <t>系统配置估值，组合久期（Basic_BondValuations.Suggest_ModifyDur_Mdl）大于阈值（警告，组合久期为7.30年）</t>
  </si>
  <si>
    <t>UI自动化A机构A部门901</t>
  </si>
  <si>
    <t xml:space="preserve">系统配置估值，组合久期小于阈值（组合久期为3.58年）
计算公式：（持仓债券券面总额1*估值全价1*估值久期1+持仓债券券面总额2*估值全价2*估值久期2+.：.）
/（持仓债券券面总额1*估值全价1+持仓债券券面总额2*估值全价2+...）
2371125.IB	券面总额	估值全全价	久期
	        1000	        108.23220000000	7.3016
019813.SH	券面总额	估值全价	久期
	        5000	       114.61830000000	2.8772
</t>
  </si>
  <si>
    <t>注：若该债券缺失估值，系统提示	
组合久期为空，请维护基础数据。缺失估值的债券为2371125.IB</t>
  </si>
  <si>
    <t>系统配置估值，组合久期小于阈值（组合久期为3.58年）</t>
  </si>
  <si>
    <t>场景：债券上一日有估值净价 且净价偏离＞1%情景。(警告，交易净价98,估值净价107.3893,价格偏离:8.7432%,超过设置的阈值,检查不通过！
)</t>
  </si>
  <si>
    <t>UI自动化A机构A部门100</t>
  </si>
  <si>
    <t>场景：债券上一日有估值净价 且净价偏离＞1%情景。（交易净价112,估值净价112.7078,价格偏离:0.6280%,小于阈值,检查通过！）</t>
  </si>
  <si>
    <t>场景：债券上一日有估值净价 且净价偏离＜1%情景。（警告，交易净价109,估值净价107.3893,价格偏离:1.4999%,超过设置的阈值,检查不通过！
）</t>
  </si>
  <si>
    <t>场景：债券上一日有估值净价 且净价偏离＜1%情景。（交易净价112.8,估值净价112.7078,价格偏离:0.0818%,小于阈值,检查通过！
）</t>
  </si>
  <si>
    <t>场景：都不满足（不满足债券类型，无评级）</t>
  </si>
  <si>
    <t>UI自动化A机构A部门110</t>
  </si>
  <si>
    <t>ULBC2025082700001.IB</t>
  </si>
  <si>
    <t>21可交换债【ULBC2025082700001.IB】</t>
  </si>
  <si>
    <t>场景：满足债券一级类型：国债  评级无</t>
  </si>
  <si>
    <t>场景： 满足其中一项，债券评级存在。当前债券的债券类型为企业债，主体评级为AAA，债项评级为AAA</t>
  </si>
  <si>
    <t>场景：债券类型为：政策性金融债</t>
  </si>
  <si>
    <t>050220.IB</t>
  </si>
  <si>
    <t>05国开20【050220.IB】</t>
  </si>
  <si>
    <t>场景：当前债券的债券类型为中期票据，主体评级为AA，债项评级为AAA，符合投资要求，检查通过！</t>
  </si>
  <si>
    <t>102583469.IB</t>
  </si>
  <si>
    <t>25淄博城投MTN001【102583469.IB】</t>
  </si>
  <si>
    <t>场景:债券主体评级有，债项评级没有（Q24010220.IB	
当前债券的债券类型为中期票据，主体评级为AA+，债项评级为--，符合投资要求，检查通过！）</t>
  </si>
  <si>
    <t>Q24010220.IB</t>
  </si>
  <si>
    <t>24绍兴国资MTN001【Q24010220.IB】</t>
  </si>
  <si>
    <t>场景：债券主体评级没有，债项评级有(2505773.IB,当前债券的债券类型为地方政府债券，主体评级为--，债项评级为AAA，符合投资要求，检查通过！)</t>
  </si>
  <si>
    <t>2505773.IB</t>
  </si>
  <si>
    <t>25安徽债73【2505773.IB】</t>
  </si>
  <si>
    <t>验证是永续债</t>
  </si>
  <si>
    <t>UI自动化A机构A部门120</t>
  </si>
  <si>
    <t>2120075.IB</t>
  </si>
  <si>
    <t>21台州银行永续债02【2120075.IB】</t>
  </si>
  <si>
    <t>验证非永续债</t>
  </si>
  <si>
    <t>场景：验证不同机构同向交易，3日内存在反向交易</t>
  </si>
  <si>
    <t>统计维度：A机构下的A组合；B机构下的A组合；检查对象：A机构下的A组合，B机构下的A组合，A机构下的B组合</t>
  </si>
  <si>
    <t>UI自动化A机构A部门130</t>
  </si>
  <si>
    <t>不同机构3日内存在卖出动作</t>
  </si>
  <si>
    <t>UI自动化B机构A部门131</t>
  </si>
  <si>
    <t>323_032</t>
  </si>
  <si>
    <t>场景：不同机构同向交易，验证3日内，存在反向交易是否满足条件。</t>
  </si>
  <si>
    <t>不同机构3日内存在卖出动作。</t>
  </si>
  <si>
    <t>223_029</t>
  </si>
  <si>
    <t>验证同机构场景</t>
  </si>
  <si>
    <t>UI自动化A机构A部门132</t>
  </si>
  <si>
    <t>场景：验证不同机构同向交易，3日内存在同向交易</t>
  </si>
  <si>
    <t>UI自动化A机构A部门140</t>
  </si>
  <si>
    <t>不同机构存在卖出动作，验证后续交易</t>
  </si>
  <si>
    <t>场景：验证不同机构同向交易，验证3日内是否存在同向交易</t>
  </si>
  <si>
    <t>223_031</t>
  </si>
  <si>
    <t>UI自动化B机构A部门141</t>
  </si>
  <si>
    <t>场景：验证不同机构同向交易，验证3日外是否存在同向交易</t>
  </si>
  <si>
    <t>UI自动化A机构A部门142</t>
  </si>
  <si>
    <t>323_034</t>
  </si>
  <si>
    <t>验证卖出方向 同向交易</t>
  </si>
  <si>
    <t>债券在黑名单库中。（表：bond_candidate_library）</t>
  </si>
  <si>
    <t>UI自动化A机构A部门160</t>
  </si>
  <si>
    <t>080013.IB</t>
  </si>
  <si>
    <t>08国债13【080013.IB】</t>
  </si>
  <si>
    <t>债券不在黑名单库中。</t>
  </si>
  <si>
    <t>债券在黑名单期限外。</t>
  </si>
  <si>
    <t>2405320.IB</t>
  </si>
  <si>
    <t>24海南债15【2405320.IB】</t>
  </si>
  <si>
    <t>主承销商为空（SELECT LeadUnderWriter,*  FROM Basic_BondBasicInfos）</t>
  </si>
  <si>
    <t>UI自动化A机构A部门170</t>
  </si>
  <si>
    <t>2108010004.IB</t>
  </si>
  <si>
    <t>21云南大姚农商行CDs01(5Y)(个人)【2108010004.IB】</t>
  </si>
  <si>
    <t xml:space="preserve"> Basic_BondBasicInfos.LeadUnderWriter字段中都存在（万联机构）</t>
  </si>
  <si>
    <t>188662.SH</t>
  </si>
  <si>
    <t>21广晟Y5【188662.SH】</t>
  </si>
  <si>
    <t xml:space="preserve"> Basic_BondBasicInfos.LeadUnderWriter字段中都不存在（万联机构）</t>
  </si>
  <si>
    <t xml:space="preserve"> Basic_BondBasicInfos.LeadUnderWriter字段中包含万联公司</t>
  </si>
  <si>
    <t>138729.SZ</t>
  </si>
  <si>
    <t>20开投1C【138729.SZ】</t>
  </si>
  <si>
    <t>多指令</t>
  </si>
  <si>
    <t>单券集中度_多指令</t>
  </si>
  <si>
    <t>验证多指令存在买入和卖出场景</t>
  </si>
  <si>
    <t>UI自动化A机构A部门A01</t>
  </si>
  <si>
    <t>加入列表</t>
  </si>
  <si>
    <t>验证多指令只存在买入场景</t>
  </si>
  <si>
    <t>审批中</t>
  </si>
  <si>
    <t>单券集中度_审批中</t>
  </si>
  <si>
    <t>验证A组合提交，B组合提交，在审批中验证A组合持仓是否累计</t>
  </si>
  <si>
    <t>UI自动化A机构A部门B01</t>
  </si>
  <si>
    <t>基金代码</t>
  </si>
  <si>
    <t>基金全称</t>
  </si>
  <si>
    <t>结算日期</t>
  </si>
  <si>
    <t>交易金额(元)</t>
  </si>
  <si>
    <t>交易价格(元)</t>
  </si>
  <si>
    <t>份额</t>
  </si>
  <si>
    <t>计划赎回时间</t>
  </si>
  <si>
    <t>托管账户信息</t>
  </si>
  <si>
    <t>入仓交易价格(元)</t>
  </si>
  <si>
    <t>入仓份额</t>
  </si>
  <si>
    <t>904_001</t>
  </si>
  <si>
    <t>场外基金申赎</t>
  </si>
  <si>
    <t>认购</t>
  </si>
  <si>
    <t>统计维度：UAC自动化基金010和UAC自动化基金011
检查对象：UAC自动化基金010和UAC自动化基金011</t>
  </si>
  <si>
    <t>REQ-20250716-00656</t>
  </si>
  <si>
    <t>001946.OF</t>
  </si>
  <si>
    <t>东方红信用债C【001946.OF】</t>
  </si>
  <si>
    <t>UAC自动化基金010</t>
  </si>
  <si>
    <t>904_002</t>
  </si>
  <si>
    <t>申购</t>
  </si>
  <si>
    <t>REQ-20250717-00028</t>
  </si>
  <si>
    <t>904_003</t>
  </si>
  <si>
    <t>部分赎回</t>
  </si>
  <si>
    <t>REQ-20250717-00031</t>
  </si>
  <si>
    <t>赎回</t>
  </si>
  <si>
    <t>904_004</t>
  </si>
  <si>
    <t>相同组合不同基金</t>
  </si>
  <si>
    <t>REQ-20250717-00037</t>
  </si>
  <si>
    <t>001905.OF</t>
  </si>
  <si>
    <t>华安安益A【001905.OF】</t>
  </si>
  <si>
    <t>904_005</t>
  </si>
  <si>
    <t>相同基金，维度内组合统计</t>
  </si>
  <si>
    <t>REQ-20250717-00041</t>
  </si>
  <si>
    <t>UAC自动化基金011</t>
  </si>
  <si>
    <t>901_001</t>
  </si>
  <si>
    <t>场内基金申赎</t>
  </si>
  <si>
    <t>REQ-20250717-00044</t>
  </si>
  <si>
    <t>160717.SZ</t>
  </si>
  <si>
    <t>嘉实H股指数(QDII-LOF)【160717.SZ】</t>
  </si>
  <si>
    <t>901_002</t>
  </si>
  <si>
    <t>相同基金，不在维度内组合不统计</t>
  </si>
  <si>
    <t>REQ-20250717-00052</t>
  </si>
  <si>
    <t>UAC自动化基金012</t>
  </si>
  <si>
    <t>901_003</t>
  </si>
  <si>
    <t>REQ-20250717-00057</t>
  </si>
  <si>
    <t>906_001</t>
  </si>
  <si>
    <t>场内基金买卖</t>
  </si>
  <si>
    <t>REQ-20250717-00062</t>
  </si>
  <si>
    <t>906_002</t>
  </si>
  <si>
    <t>REQ-20250717-00067</t>
  </si>
  <si>
    <t>906_003</t>
  </si>
  <si>
    <t>REQ-20250716-00707</t>
  </si>
  <si>
    <t>UAC自动化基金013</t>
  </si>
  <si>
    <t>UAC自动化基金014</t>
  </si>
  <si>
    <t>UAC自动化基金015</t>
  </si>
  <si>
    <t>结果描述</t>
  </si>
  <si>
    <t>单基金持仓规模为1100000，小于等于50000000，通过</t>
  </si>
  <si>
    <t>单基金持仓规模为2300000.0，小于等于50000000，通过</t>
  </si>
  <si>
    <t>用于造数据，并不触发风控</t>
  </si>
  <si>
    <t>单基金持仓规模为1400000，小于等于50000000，通过</t>
  </si>
  <si>
    <t>单基金持仓规模为2450000，小于等于50000000，通过</t>
  </si>
  <si>
    <t>单基金持仓规模为2100000，小于等于50000000，通过</t>
  </si>
  <si>
    <t>单基金持仓规模为4400000.0，小于等于50000000，通过</t>
  </si>
  <si>
    <t>单基金持仓规模为56800000，大于50000000小于等于90000000，预警</t>
  </si>
  <si>
    <t>单基金持仓规模为8289600，小于等于50000000，通过</t>
  </si>
  <si>
    <t>组合基金持仓规模为1100000.0，小于等于50000000，通过</t>
  </si>
  <si>
    <t>组合基金持仓规模为2300000.0，小于等于50000000，通过</t>
  </si>
  <si>
    <t>组合基金持仓规模为3700000.0，小于等于50000000，通过</t>
  </si>
  <si>
    <t>组合基金持仓规模为3850000，小于等于50000000，通过</t>
  </si>
  <si>
    <t>组合基金持仓规模为4400000.0，小于等于50000000，通过</t>
  </si>
  <si>
    <t>组合基金持仓规模为6950000，小于等于50000000，通过</t>
  </si>
  <si>
    <t>组合基金持仓规模为59350000，大于50000000小于等于90000000，预警</t>
  </si>
  <si>
    <t>组合基金持仓规模为10839600，小于等于50000000，通过</t>
  </si>
  <si>
    <t>DealType</t>
  </si>
  <si>
    <t>int</t>
  </si>
  <si>
    <t>223 银行间现券买卖</t>
  </si>
  <si>
    <t>226 银行间质押式回购</t>
  </si>
  <si>
    <t>227 银行间信用拆借</t>
  </si>
  <si>
    <t>场外基金申购赎回</t>
  </si>
  <si>
    <t>228 国债期货</t>
  </si>
  <si>
    <t>231 银行间买断式回购</t>
  </si>
  <si>
    <t>240 普通互换</t>
  </si>
  <si>
    <t>326 交易所质押式回购</t>
  </si>
  <si>
    <t>327 交易所协议式回购</t>
  </si>
  <si>
    <t>场内基金申购赎回</t>
  </si>
  <si>
    <t>615 债券付息</t>
  </si>
  <si>
    <t>236 债券借贷</t>
  </si>
  <si>
    <t>信用拆借</t>
  </si>
  <si>
    <t>702 分销认购</t>
  </si>
  <si>
    <t>701 转托管</t>
  </si>
  <si>
    <t>100003 债券调拨</t>
  </si>
  <si>
    <t>614 债券到期</t>
  </si>
  <si>
    <t>612 债券行权</t>
  </si>
  <si>
    <t>1008 债券借贷利息返还</t>
  </si>
  <si>
    <t>618 债券提前还本</t>
  </si>
  <si>
    <t>1010 债券撮合</t>
  </si>
  <si>
    <t>1011 资金撮合</t>
  </si>
  <si>
    <t>1012 债券远期</t>
  </si>
  <si>
    <t>100013 垫资</t>
  </si>
  <si>
    <t>1014 代缴款</t>
  </si>
  <si>
    <t>1016 分销撮合</t>
  </si>
  <si>
    <t>100019 资金调拨</t>
  </si>
  <si>
    <t>100227 线下拆借</t>
  </si>
  <si>
    <t>200001 债券黑白名单入池</t>
  </si>
  <si>
    <t>223225 债转股</t>
  </si>
  <si>
    <t>225 股票</t>
  </si>
  <si>
    <t>323 交易所现券买卖</t>
  </si>
  <si>
    <t>360 股票池管理</t>
  </si>
  <si>
    <t>361 股票买卖</t>
  </si>
  <si>
    <t>362 新股申购</t>
  </si>
  <si>
    <t>401 机构间私募券买卖</t>
  </si>
  <si>
    <t>606 产品申购赎回</t>
  </si>
  <si>
    <t>608 产品费用收入支出</t>
  </si>
  <si>
    <t>610 产品资金冻结解冻</t>
  </si>
  <si>
    <t>666 债券池白名单</t>
  </si>
  <si>
    <t>777 债券信评结果出入库</t>
  </si>
  <si>
    <t>801 自定义资产申购赎回</t>
  </si>
  <si>
    <t>888 TA录入</t>
  </si>
  <si>
    <t>889 TA分红</t>
  </si>
  <si>
    <t>1017 资金划拨</t>
  </si>
  <si>
    <t>1018 资金转出存入</t>
  </si>
  <si>
    <t>100018 出入金</t>
  </si>
  <si>
    <t>901 场内基金申购赎回</t>
  </si>
  <si>
    <t>902 基金分红</t>
  </si>
  <si>
    <t>903 基金转换</t>
  </si>
  <si>
    <t>904 场外基金申购赎回</t>
  </si>
  <si>
    <t>712 一级申购拟认购申请</t>
  </si>
  <si>
    <t>905 基金等级升降</t>
  </si>
  <si>
    <t>363 交易所债券借贷</t>
  </si>
  <si>
    <t>914 资管计划</t>
  </si>
  <si>
    <t>915 信托计划</t>
  </si>
  <si>
    <t>911 存放同业定期</t>
  </si>
  <si>
    <t>1001 同业存放</t>
  </si>
  <si>
    <t>703 内部交易</t>
  </si>
  <si>
    <t>707 标准券出入库</t>
  </si>
  <si>
    <t>229 国债期货交割</t>
  </si>
  <si>
    <t>364 转融资</t>
  </si>
  <si>
    <t>910 交易所报价回购</t>
  </si>
  <si>
    <t>1025 期转现</t>
  </si>
  <si>
    <t>620 行权申请</t>
  </si>
  <si>
    <t>708 债券冻结解冻</t>
  </si>
  <si>
    <t>237 信用风险缓释凭证</t>
  </si>
  <si>
    <t>238 信用风险缓释凭证一级申购</t>
  </si>
  <si>
    <t>239 信用风险缓释凭证创设凭证</t>
  </si>
  <si>
    <t>7071 质押式回购出入库</t>
  </si>
  <si>
    <t>7072 报价回购出入库</t>
  </si>
  <si>
    <t>906 基金折算</t>
  </si>
  <si>
    <t>1030 现券回购</t>
  </si>
  <si>
    <t>1015 部门借款</t>
  </si>
  <si>
    <t>700 定期/协议式存款</t>
  </si>
  <si>
    <t>2001 对手方黑白名单</t>
  </si>
  <si>
    <t>2003 投资备选库</t>
  </si>
  <si>
    <t>2005 对手方授信</t>
  </si>
  <si>
    <t>3000 申请额度</t>
  </si>
  <si>
    <t>913 收益凭证</t>
  </si>
  <si>
    <t>916 资金业务类到期确认</t>
  </si>
  <si>
    <t>917 理财产品到期</t>
  </si>
  <si>
    <t>920 理财产品付息</t>
  </si>
  <si>
    <t>921 存放同业</t>
  </si>
  <si>
    <t>912 同业理财</t>
  </si>
  <si>
    <t>923 收益凭证</t>
  </si>
  <si>
    <t>924 非标ABS</t>
  </si>
  <si>
    <t>925 收益凭证到期兑付</t>
  </si>
  <si>
    <t>926 存放同业、同业理财到期支取</t>
  </si>
  <si>
    <t>子用例编号</t>
  </si>
  <si>
    <t>风控描述</t>
  </si>
  <si>
    <t>UAC1.1</t>
  </si>
  <si>
    <t>当前债券的托管量为2000.00万元，流通量为743202.00万元，集中度为0.27%,未超过阈值，检查通过</t>
  </si>
  <si>
    <t xml:space="preserve">债券投资总规模检查
</t>
  </si>
  <si>
    <t>债券投资规模为19824680.00元 ，检查通过。</t>
  </si>
  <si>
    <t>1,982.47万</t>
  </si>
  <si>
    <t>UAC1.2</t>
  </si>
  <si>
    <t xml:space="preserve">单券集中度检查 </t>
  </si>
  <si>
    <t>通过
通过</t>
  </si>
  <si>
    <t>当前债券的托管量为6000.00万元，流通量为743202.00万元，集中度为0.81%,未超过阈值，检查通过	
当前债券的托管量为1000.00万元，流通量为743202.00万元，集中度为0.13%,未超过阈值，检查通过</t>
  </si>
  <si>
    <t>警告
通过</t>
  </si>
  <si>
    <t>债券投资规模为59474040.00元 超标，警告。
债券投资规模为9912340.00元 ，检查通过。</t>
  </si>
  <si>
    <t>5947.4万
991.23万</t>
  </si>
  <si>
    <t>UAC1.3</t>
  </si>
  <si>
    <t xml:space="preserve">债券可用检查
</t>
  </si>
  <si>
    <t>债券持仓为 30000000，充足。</t>
  </si>
  <si>
    <t>UAC1.4</t>
  </si>
  <si>
    <t>当前债券的托管量为3000.00万元，流通量为743202.00万元，集中度为0.40%,未超过阈值，检查通过</t>
  </si>
  <si>
    <t xml:space="preserve">债券投资规模为29737020.00元 ，检查通过。
</t>
  </si>
  <si>
    <t>2,973.70万</t>
  </si>
  <si>
    <t>UAC1.5</t>
  </si>
  <si>
    <t>UAC1.6</t>
  </si>
  <si>
    <t>当前债券的托管量为0.00万元，流通量为743202.00万元，集中度为0.00%,未超过阈值，检查通过</t>
  </si>
  <si>
    <t>债券投资规模为0.00元 ，检查通过。</t>
  </si>
  <si>
    <t>0万</t>
  </si>
  <si>
    <t>UAC1.7</t>
  </si>
  <si>
    <t>债券持仓为 40000000，充足。</t>
  </si>
  <si>
    <t>UAC1.8</t>
  </si>
  <si>
    <t>债券投资规模为19891340.00元 ，检查通过。</t>
  </si>
  <si>
    <t>1,989.13万</t>
  </si>
  <si>
    <t>UAC1.9</t>
  </si>
  <si>
    <t>债券持仓为 -20000000，不充足。</t>
  </si>
  <si>
    <t>编号</t>
  </si>
  <si>
    <t>子编号</t>
  </si>
  <si>
    <t>业务场景</t>
  </si>
  <si>
    <t>风控数量</t>
  </si>
  <si>
    <r>
      <rPr>
        <sz val="10"/>
        <color rgb="FF000000"/>
        <rFont val="宋体"/>
        <charset val="134"/>
      </rPr>
      <t>单券集中度、债券可用检查：</t>
    </r>
    <r>
      <rPr>
        <b/>
        <sz val="10"/>
        <color rgb="FF000000"/>
        <rFont val="宋体"/>
        <charset val="134"/>
      </rPr>
      <t>银行间现券买卖</t>
    </r>
    <r>
      <rPr>
        <sz val="10"/>
        <color rgb="FF000000"/>
        <rFont val="宋体"/>
        <charset val="134"/>
      </rPr>
      <t>多次买卖，持仓量变化</t>
    </r>
  </si>
  <si>
    <t xml:space="preserve"> 当前债券的托管量为100.00万元，流通量为1100.00万元，集中度为9.09%,未超过阈值，检查通过</t>
  </si>
  <si>
    <t>uac1</t>
  </si>
  <si>
    <t>华安华润</t>
  </si>
  <si>
    <t>华安华润信托1号【华安-华润信托1号】</t>
  </si>
  <si>
    <t>债券投资规模为1000000.0元 充足，检查通过。</t>
  </si>
  <si>
    <t>债券可用量小于等于交易面额时，可用不充足</t>
  </si>
  <si>
    <t>uac1.3</t>
  </si>
  <si>
    <t>当前债券的托管量为100.00万元，流通量为1100.00万元，集中度为9.09%,未超过阈值，检查通过</t>
  </si>
  <si>
    <t>uac1.4</t>
  </si>
  <si>
    <t>uac2.1</t>
  </si>
  <si>
    <r>
      <rPr>
        <sz val="10"/>
        <color rgb="FF000000"/>
        <rFont val="宋体"/>
        <charset val="134"/>
      </rPr>
      <t>债券可用检查、单券集中度检查：</t>
    </r>
    <r>
      <rPr>
        <b/>
        <sz val="10"/>
        <color rgb="FF000000"/>
        <rFont val="宋体"/>
        <charset val="134"/>
      </rPr>
      <t>银行间买断式回购</t>
    </r>
    <r>
      <rPr>
        <sz val="10"/>
        <color rgb="FF000000"/>
        <rFont val="宋体"/>
        <charset val="134"/>
      </rPr>
      <t>多次买卖，持仓量变化</t>
    </r>
  </si>
  <si>
    <t>uac2</t>
  </si>
  <si>
    <t>华安华润信托1号</t>
  </si>
  <si>
    <t>uac2.2</t>
  </si>
  <si>
    <t>当前债券的托管量为0.00万元，流通量为1100.00万元，集中度为0.00%,未超过阈值，检查通过</t>
  </si>
  <si>
    <t>逆回购投资总规模：20742.47，通过</t>
  </si>
  <si>
    <t>uac2.3</t>
  </si>
  <si>
    <t>uac2.4</t>
  </si>
  <si>
    <t>逆回购投资总规模：41484.94，通过</t>
  </si>
  <si>
    <t>uac3.1</t>
  </si>
  <si>
    <r>
      <rPr>
        <sz val="10"/>
        <color rgb="FF000000"/>
        <rFont val="宋体"/>
        <charset val="134"/>
      </rPr>
      <t>债券可用检查：</t>
    </r>
    <r>
      <rPr>
        <b/>
        <sz val="10"/>
        <color rgb="FF000000"/>
        <rFont val="宋体"/>
        <charset val="134"/>
      </rPr>
      <t>银行间质押式回购</t>
    </r>
    <r>
      <rPr>
        <sz val="10"/>
        <color rgb="FF000000"/>
        <rFont val="宋体"/>
        <charset val="134"/>
      </rPr>
      <t>多次买卖，持仓量变化</t>
    </r>
  </si>
  <si>
    <t>uac3</t>
  </si>
  <si>
    <t>uac3.2</t>
  </si>
  <si>
    <t>uac3.3</t>
  </si>
  <si>
    <t>uac3.4</t>
  </si>
  <si>
    <t>uac4.1</t>
  </si>
  <si>
    <r>
      <rPr>
        <sz val="10"/>
        <color rgb="FF000000"/>
        <rFont val="宋体"/>
        <charset val="134"/>
      </rPr>
      <t>单券集中度检查、债券可用检查：验证</t>
    </r>
    <r>
      <rPr>
        <b/>
        <sz val="10"/>
        <color rgb="FF000000"/>
        <rFont val="宋体"/>
        <charset val="134"/>
      </rPr>
      <t>不同银行间</t>
    </r>
    <r>
      <rPr>
        <sz val="10"/>
        <color rgb="FF000000"/>
        <rFont val="宋体"/>
        <charset val="134"/>
      </rPr>
      <t>多次买卖，持仓量变化</t>
    </r>
  </si>
  <si>
    <t>当前债券的托管量为100.00万元，流通量为1187800.00万元，集中度为0.01%,未超过阈值，检查通过</t>
  </si>
  <si>
    <t>uactest4</t>
  </si>
  <si>
    <t>uac4.2</t>
  </si>
  <si>
    <t>uac4.3</t>
  </si>
  <si>
    <t>--占位--</t>
  </si>
  <si>
    <t>uac4.4</t>
  </si>
  <si>
    <t>--</t>
  </si>
  <si>
    <t>uac5.1</t>
  </si>
  <si>
    <r>
      <rPr>
        <sz val="10"/>
        <color rgb="FF000000"/>
        <rFont val="宋体"/>
        <charset val="134"/>
      </rPr>
      <t>单券集中度检查、债券可用检查：验证</t>
    </r>
    <r>
      <rPr>
        <b/>
        <sz val="10"/>
        <color rgb="FF000000"/>
        <rFont val="宋体"/>
        <charset val="134"/>
      </rPr>
      <t>交易所现券买卖</t>
    </r>
    <r>
      <rPr>
        <sz val="10"/>
        <color rgb="FF000000"/>
        <rFont val="宋体"/>
        <charset val="134"/>
      </rPr>
      <t>在不同交易场所多次买卖，持仓量变化</t>
    </r>
  </si>
  <si>
    <t xml:space="preserve">当前债券的托管量为100.00万元，流通量为80000.00万元，集中度为0.13%,未超过阈值，检查通过
</t>
  </si>
  <si>
    <t>uac5</t>
  </si>
  <si>
    <t>152798.SH</t>
  </si>
  <si>
    <t>21广饶债【152798.SH】</t>
  </si>
  <si>
    <t>债券投资规模为1000000.0元 充足，检查通过</t>
  </si>
  <si>
    <t>uac5.2</t>
  </si>
  <si>
    <t>当前债券的托管量为100.00万元，流通量为110000.00万元，集中度为0.18%,未超过阈值，检查通过</t>
  </si>
  <si>
    <t>197650.SZ</t>
  </si>
  <si>
    <t>深圳2428【197650.SZ】</t>
  </si>
  <si>
    <t>uac5.3</t>
  </si>
  <si>
    <t>uac5.4</t>
  </si>
  <si>
    <t>uac6.1</t>
  </si>
  <si>
    <r>
      <rPr>
        <sz val="10"/>
        <color rgb="FF000000"/>
        <rFont val="宋体"/>
        <charset val="134"/>
      </rPr>
      <t>债券可用检查：验证</t>
    </r>
    <r>
      <rPr>
        <b/>
        <sz val="10"/>
        <color rgb="FF000000"/>
        <rFont val="宋体"/>
        <charset val="134"/>
      </rPr>
      <t>交易所协议式回购</t>
    </r>
    <r>
      <rPr>
        <sz val="10"/>
        <color rgb="FF000000"/>
        <rFont val="宋体"/>
        <charset val="134"/>
      </rPr>
      <t>在不同交易场所多次买卖，持仓量变化</t>
    </r>
  </si>
  <si>
    <t>债券持仓为 -1000000，不充足。</t>
  </si>
  <si>
    <t>uac6</t>
  </si>
  <si>
    <t>240538.SH</t>
  </si>
  <si>
    <t>24广越04【240538.SH】</t>
  </si>
  <si>
    <t>uac6.2</t>
  </si>
  <si>
    <t>逆回购投资总规模：1000000.0，通过</t>
  </si>
  <si>
    <t>uac7.1</t>
  </si>
  <si>
    <r>
      <rPr>
        <sz val="10"/>
        <color rgb="FF000000"/>
        <rFont val="宋体"/>
        <charset val="134"/>
      </rPr>
      <t>逆回购投资总规模：验证</t>
    </r>
    <r>
      <rPr>
        <b/>
        <sz val="10"/>
        <color rgb="FF000000"/>
        <rFont val="宋体"/>
        <charset val="134"/>
      </rPr>
      <t>交易所质押式回购</t>
    </r>
    <r>
      <rPr>
        <sz val="10"/>
        <color rgb="FF000000"/>
        <rFont val="宋体"/>
        <charset val="134"/>
      </rPr>
      <t>在不同交易场所多次买卖，持仓量变化</t>
    </r>
  </si>
  <si>
    <t>uac7</t>
  </si>
  <si>
    <t>uac7.2</t>
  </si>
  <si>
    <t>uac8.1</t>
  </si>
  <si>
    <r>
      <rPr>
        <sz val="10"/>
        <color rgb="FF000000"/>
        <rFont val="宋体"/>
        <charset val="134"/>
      </rPr>
      <t>单券集中度、债券可用检查：验证在</t>
    </r>
    <r>
      <rPr>
        <b/>
        <sz val="10"/>
        <color rgb="FF000000"/>
        <rFont val="宋体"/>
        <charset val="134"/>
      </rPr>
      <t>不同交易场所</t>
    </r>
    <r>
      <rPr>
        <sz val="10"/>
        <color rgb="FF000000"/>
        <rFont val="宋体"/>
        <charset val="134"/>
      </rPr>
      <t>多次买卖，持仓量变化</t>
    </r>
  </si>
  <si>
    <t xml:space="preserve">当前债券的托管量为100.00万元，流通量为60000.00万元，集中度为0.17%,未超过阈值，检查通过
</t>
  </si>
  <si>
    <t>uactest8</t>
  </si>
  <si>
    <t>uac8.2</t>
  </si>
  <si>
    <t>uac8.3</t>
  </si>
  <si>
    <t>uac8.4</t>
  </si>
  <si>
    <t>uac9.1</t>
  </si>
  <si>
    <r>
      <rPr>
        <sz val="10"/>
        <color rgb="FF000000"/>
        <rFont val="宋体"/>
        <charset val="134"/>
      </rPr>
      <t>验证</t>
    </r>
    <r>
      <rPr>
        <b/>
        <sz val="10"/>
        <color rgb="FF000000"/>
        <rFont val="宋体"/>
        <charset val="134"/>
      </rPr>
      <t>不同业务类型</t>
    </r>
    <r>
      <rPr>
        <sz val="10"/>
        <color rgb="FF000000"/>
        <rFont val="宋体"/>
        <charset val="134"/>
      </rPr>
      <t>多次买卖，不同交易场所/持仓量变化</t>
    </r>
  </si>
  <si>
    <t>当前债券的托管量为1000.00万元，流通量为97300.00万元，集中度为1.03%,未超过阈值，检查通过</t>
  </si>
  <si>
    <t>2405451.IB</t>
  </si>
  <si>
    <t>24湖南债20【2405451.IB】</t>
  </si>
  <si>
    <t>债券投资规模为0元 充足，检查通过。</t>
  </si>
  <si>
    <t>uac9.2</t>
  </si>
  <si>
    <t>债券可用量大于等于交易面额时，可用充足</t>
  </si>
  <si>
    <t>uac9.3</t>
  </si>
  <si>
    <t>uac9.4</t>
  </si>
  <si>
    <t>uac9.5</t>
  </si>
  <si>
    <t>241420.SH</t>
  </si>
  <si>
    <t>24融和04【241420.SH】</t>
  </si>
  <si>
    <t>uac9.6</t>
  </si>
  <si>
    <t>uac9.7</t>
  </si>
  <si>
    <t>---</t>
  </si>
  <si>
    <t>148933.SZ</t>
  </si>
  <si>
    <t>24山证03【148933.SZ】</t>
  </si>
  <si>
    <t>uac9.9</t>
  </si>
  <si>
    <t>uac10.1</t>
  </si>
  <si>
    <r>
      <rPr>
        <sz val="10"/>
        <color rgb="FF000000"/>
        <rFont val="宋体"/>
        <charset val="134"/>
      </rPr>
      <t>单独验证投资总规模：验证</t>
    </r>
    <r>
      <rPr>
        <b/>
        <sz val="10"/>
        <color rgb="FF000000"/>
        <rFont val="宋体"/>
        <charset val="134"/>
      </rPr>
      <t>不同业务类型</t>
    </r>
  </si>
  <si>
    <t>当前债券的托管量为100.00万元，流通量为3000.00万元，集中度为3.33%,未超过阈值，检查通过</t>
  </si>
  <si>
    <t>uac债券总规模</t>
  </si>
  <si>
    <t>2405044.IB</t>
  </si>
  <si>
    <t>24青岛债10【2405044.IB】</t>
  </si>
  <si>
    <t>uac10.2</t>
  </si>
  <si>
    <t>当前债券的托管量为200.00万元，流通量为3000.00万元，集中度为6.67%,未超过阈值，检查通过</t>
  </si>
  <si>
    <t>债券投资规模为2000000.0元 充足，检查通过。</t>
  </si>
  <si>
    <t>uac10.3</t>
  </si>
  <si>
    <t>当前债券的托管量为300.00万元，流通量为90000.00万元，集中度为0.33%,未超过阈值，检查通过</t>
  </si>
  <si>
    <t>债券投资规模为3000000.0元 充足，检查通过。</t>
  </si>
  <si>
    <t>240471.SH</t>
  </si>
  <si>
    <t>24东财01【240471.SH】</t>
  </si>
  <si>
    <t>uac10.4</t>
  </si>
  <si>
    <t xml:space="preserve"> 当前债券的托管量为400.00万元，流通量为90000.00万元，集中度为0.44%,未超过阈值，检查通过</t>
  </si>
  <si>
    <t>债券投资规模为4000000.0元 充足，检查通过。</t>
  </si>
  <si>
    <t>债券历史持仓量
xxx.IB  xxx万</t>
  </si>
  <si>
    <t>基金投资总规模(万)</t>
  </si>
  <si>
    <t>质押券</t>
  </si>
  <si>
    <t>缴款日期/结算日期</t>
  </si>
  <si>
    <t>到期日期</t>
  </si>
  <si>
    <t>交易变动日期</t>
  </si>
  <si>
    <t>中介机构</t>
  </si>
  <si>
    <t>中介费</t>
  </si>
  <si>
    <t>利息</t>
  </si>
  <si>
    <t>手续费</t>
  </si>
  <si>
    <t>实际对手方</t>
  </si>
  <si>
    <t>uac1.1</t>
  </si>
  <si>
    <r>
      <rPr>
        <sz val="10"/>
        <color rgb="FF000000"/>
        <rFont val="宋体"/>
        <charset val="134"/>
      </rPr>
      <t>验证</t>
    </r>
    <r>
      <rPr>
        <b/>
        <sz val="10"/>
        <color rgb="FF000000"/>
        <rFont val="宋体"/>
        <charset val="134"/>
      </rPr>
      <t>场内基金多次买入卖出，申赎</t>
    </r>
    <r>
      <rPr>
        <sz val="10"/>
        <color rgb="FF000000"/>
        <rFont val="宋体"/>
        <charset val="134"/>
      </rPr>
      <t>，持仓量变化</t>
    </r>
  </si>
  <si>
    <t>单基金持仓规模为1000000.0，小于50000000，通过</t>
  </si>
  <si>
    <t>uac场内</t>
  </si>
  <si>
    <t>159001.SZ</t>
  </si>
  <si>
    <t>易方达保证金A【159001.SZ】</t>
  </si>
  <si>
    <t>深交所02_深交所_0899035728</t>
  </si>
  <si>
    <t>基金投资总规模：1000000.0，通过</t>
  </si>
  <si>
    <t>组合基金持仓规模为1000000.0，小于等于50000000，通过</t>
  </si>
  <si>
    <t>深交所02_深交所_0899035729</t>
  </si>
  <si>
    <t>uac1.2</t>
  </si>
  <si>
    <t>深交所02_深交所_0899035730</t>
  </si>
  <si>
    <t>深交所02_深交所_0899035731</t>
  </si>
  <si>
    <t>基金投资总规模：0.0，通过</t>
  </si>
  <si>
    <t>深交所02_深交所_0899035732</t>
  </si>
  <si>
    <r>
      <rPr>
        <sz val="10"/>
        <color rgb="FF000000"/>
        <rFont val="宋体"/>
        <charset val="134"/>
      </rPr>
      <t>验证</t>
    </r>
    <r>
      <rPr>
        <b/>
        <sz val="10"/>
        <color rgb="FF000000"/>
        <rFont val="宋体"/>
        <charset val="134"/>
      </rPr>
      <t>场外基金多次申赎</t>
    </r>
    <r>
      <rPr>
        <sz val="10"/>
        <color rgb="FF000000"/>
        <rFont val="宋体"/>
        <charset val="134"/>
      </rPr>
      <t>，持仓量变化</t>
    </r>
  </si>
  <si>
    <t>单基金持仓规模为1000000，小于50000000，通过</t>
  </si>
  <si>
    <t>uac场外</t>
  </si>
  <si>
    <t>006251.OF</t>
  </si>
  <si>
    <t>银华兴盛【006251.OF】</t>
  </si>
  <si>
    <t>基金投资总规模：0，通过</t>
  </si>
  <si>
    <t>006252.OF</t>
  </si>
  <si>
    <t>006253.OF</t>
  </si>
  <si>
    <t>006254.OF</t>
  </si>
  <si>
    <t>006255.OF</t>
  </si>
  <si>
    <t>006256.OF</t>
  </si>
  <si>
    <t>uac2.5</t>
  </si>
  <si>
    <t>006257.OF</t>
  </si>
  <si>
    <r>
      <rPr>
        <sz val="10"/>
        <color rgb="FF000000"/>
        <rFont val="宋体"/>
        <charset val="134"/>
      </rPr>
      <t>验证</t>
    </r>
    <r>
      <rPr>
        <b/>
        <sz val="10"/>
        <color rgb="FF000000"/>
        <rFont val="宋体"/>
        <charset val="134"/>
      </rPr>
      <t>场内场外基金</t>
    </r>
    <r>
      <rPr>
        <sz val="10"/>
        <color rgb="FF000000"/>
        <rFont val="宋体"/>
        <charset val="134"/>
      </rPr>
      <t>多次买卖</t>
    </r>
  </si>
  <si>
    <t>160105.SZ</t>
  </si>
  <si>
    <t>南方积极配置【160105.SZ】</t>
  </si>
  <si>
    <t>单基金持仓规模为2000000.0，小于50000000，通过</t>
  </si>
  <si>
    <t>基金投资总规模：2000000.0，通过</t>
  </si>
  <si>
    <t>组合基金持仓规模为2000000.0，小于等于50000000，通过</t>
  </si>
  <si>
    <t>004695.OF</t>
  </si>
  <si>
    <t>东兴未来价值A【004695.OF】</t>
  </si>
  <si>
    <r>
      <rPr>
        <sz val="10"/>
        <color rgb="FF000000"/>
        <rFont val="宋体"/>
        <charset val="134"/>
      </rPr>
      <t>单独验证：</t>
    </r>
    <r>
      <rPr>
        <b/>
        <sz val="10"/>
        <color rgb="FF000000"/>
        <rFont val="宋体"/>
        <charset val="134"/>
      </rPr>
      <t>投资总规模检查</t>
    </r>
    <r>
      <rPr>
        <sz val="10"/>
        <color rgb="FF000000"/>
        <rFont val="宋体"/>
        <charset val="134"/>
      </rPr>
      <t>风控</t>
    </r>
  </si>
  <si>
    <t>uac基金投资规模</t>
  </si>
  <si>
    <t>160617.SZ</t>
  </si>
  <si>
    <t>鹏华丰润【160617.SZ】</t>
  </si>
  <si>
    <t>007226.OF</t>
  </si>
  <si>
    <t>海富通中短债C【007226.OF】</t>
  </si>
  <si>
    <t>组合基金持仓规模为3000000.0，小于等于50000000，通过</t>
  </si>
  <si>
    <t>菜单</t>
  </si>
  <si>
    <t>涉及接口</t>
  </si>
  <si>
    <t>备注</t>
  </si>
  <si>
    <t>账户信息</t>
  </si>
  <si>
    <t>首页</t>
  </si>
  <si>
    <t>登录</t>
  </si>
  <si>
    <t>用户名</t>
  </si>
  <si>
    <t>真实姓名</t>
  </si>
  <si>
    <t>所属部门</t>
  </si>
  <si>
    <t>角色</t>
  </si>
  <si>
    <t>获取用户认证信息</t>
  </si>
  <si>
    <t>jktest1</t>
  </si>
  <si>
    <t>接口测试1</t>
  </si>
  <si>
    <t>接口测试专用</t>
  </si>
  <si>
    <t>交易员/审批员</t>
  </si>
  <si>
    <t>获取用户首页tab配置</t>
  </si>
  <si>
    <t>jktest2</t>
  </si>
  <si>
    <t>接口测试2</t>
  </si>
  <si>
    <t>交易员</t>
  </si>
  <si>
    <t>交易申请-银行间现券买卖</t>
  </si>
  <si>
    <t>申请列表-我的申请</t>
  </si>
  <si>
    <t>审批列表-审批列表</t>
  </si>
  <si>
    <t>交易申请/申请/审批/入仓</t>
  </si>
  <si>
    <t>交易申请/审批中/撤回/重申</t>
  </si>
  <si>
    <t>有部分公共接口重复调用</t>
  </si>
  <si>
    <t>交易申请/审批中/作废</t>
  </si>
  <si>
    <t>交易申请/审批通过/重申/</t>
  </si>
  <si>
    <t>交易申请/审批通过/作废</t>
  </si>
  <si>
    <t>交易管理</t>
  </si>
  <si>
    <t>交易管理/撤销入仓</t>
  </si>
  <si>
    <t>存续管理</t>
  </si>
  <si>
    <t>存续期管理/列表/历史</t>
  </si>
  <si>
    <t>清算管理</t>
  </si>
  <si>
    <t>核对确认-列表/详情/TBIZ</t>
  </si>
  <si>
    <t>结算确认-列表/详情/</t>
  </si>
  <si>
    <t>风控合规</t>
  </si>
  <si>
    <t>风控模型-列表</t>
  </si>
  <si>
    <t>风控指标-获取指标数</t>
  </si>
  <si>
    <t>风控点管理</t>
  </si>
  <si>
    <t>指标管理</t>
  </si>
  <si>
    <t>风控场景视角</t>
  </si>
  <si>
    <t>风控模版</t>
  </si>
  <si>
    <t>系统管理</t>
  </si>
  <si>
    <t>账户管理</t>
  </si>
  <si>
    <t>权限管理</t>
  </si>
  <si>
    <t>配置管理</t>
  </si>
  <si>
    <t>流程管理</t>
  </si>
  <si>
    <t>任务</t>
  </si>
  <si>
    <t>内容</t>
  </si>
  <si>
    <t>周期</t>
  </si>
  <si>
    <t>参与人员</t>
  </si>
  <si>
    <t>人天</t>
  </si>
  <si>
    <t>UI自动化一期</t>
  </si>
  <si>
    <t>1、框架搭建
2、产品v1.0风控点场景梳理和
3、编写操作说明和接入文档</t>
  </si>
  <si>
    <t>5.12-6.27</t>
  </si>
  <si>
    <t>高明  40
潘辉  2</t>
  </si>
  <si>
    <t>5.12-7.4</t>
  </si>
  <si>
    <t>高明  40
潘辉  2
余枝梅 2</t>
  </si>
  <si>
    <t>UI自动化一期-使用</t>
  </si>
  <si>
    <t>项目人员具体试用及问题沟通</t>
  </si>
  <si>
    <t>6.30-7.4</t>
  </si>
  <si>
    <t>高明 5
潘辉 3</t>
  </si>
  <si>
    <t>UI自动化二期）</t>
  </si>
  <si>
    <t>7.8-7.18</t>
  </si>
  <si>
    <t>高明  10
潘辉   4
BU人力（余枝梅 5
袁聪慧 2
朱文静 2
吴其林 2）
 包含BU人力11天</t>
  </si>
  <si>
    <t>UI自动化二期</t>
  </si>
  <si>
    <t xml:space="preserve">高明  10
潘辉   4
余枝梅 3
袁聪慧 3
朱文静 2
吴其林 2
</t>
  </si>
  <si>
    <t>UI自动化三期</t>
  </si>
  <si>
    <t>7.21-8.1
8.25-8.29</t>
  </si>
  <si>
    <t>高明 10
高明 5
潘辉  3</t>
  </si>
  <si>
    <t>接口自动化一期</t>
  </si>
  <si>
    <t>5.26-6.27</t>
  </si>
  <si>
    <t>潘辉 23</t>
  </si>
  <si>
    <t>接口自动化二期</t>
  </si>
  <si>
    <t>7.8-8.8</t>
  </si>
  <si>
    <t>潘辉 20</t>
  </si>
  <si>
    <t>7.8-7.31</t>
  </si>
  <si>
    <t>潘辉 15</t>
  </si>
  <si>
    <t>自动化类型</t>
  </si>
  <si>
    <t>覆盖内容（详细描述，最好把原因写上，如核心功能/出问题较多/客户关注等）</t>
  </si>
  <si>
    <t>记录人</t>
  </si>
  <si>
    <t>结论</t>
  </si>
  <si>
    <t>接口自动化</t>
  </si>
  <si>
    <t>断言入仓状态</t>
  </si>
  <si>
    <t>潘辉</t>
  </si>
  <si>
    <t>断言列表数量增加</t>
  </si>
  <si>
    <t>UI自动化</t>
  </si>
  <si>
    <t>专项名称</t>
  </si>
  <si>
    <t>工作内容</t>
  </si>
  <si>
    <t>排期</t>
  </si>
  <si>
    <t>工作量（人/天）</t>
  </si>
  <si>
    <t>负责人</t>
  </si>
  <si>
    <t>产品UI自动化</t>
  </si>
  <si>
    <t>按照和项目沟通的需求，调整用例，重新跑demo演示最终效果</t>
  </si>
  <si>
    <t>5.12-5.16</t>
  </si>
  <si>
    <t>高明5
潘辉2</t>
  </si>
  <si>
    <t>一阶段场景覆盖有遗漏的地方，根据交易要素和用户的实际使用场景，确定最终比较全的覆盖场景，见sheet【风控点及对应场景】</t>
  </si>
  <si>
    <t>1、二阶段功能测试用例库，需要BU测试配合，利用项目外的时间整理。计划从6.23开始，7.4号完成。
2、F0 case数预估200-300条
3、预估需要</t>
  </si>
  <si>
    <t>6.23-7.4</t>
  </si>
  <si>
    <t>高明5
潘辉3</t>
  </si>
  <si>
    <t>1、根据业务需求的验证关键点，调整报告样式，确定最终模版；
2、全流程跑通（Jenkins触发-运行-报告展示-消息通知）</t>
  </si>
  <si>
    <t>5.19-5.21</t>
  </si>
  <si>
    <t>高明3
潘辉1</t>
  </si>
  <si>
    <t>编写测试用例</t>
  </si>
  <si>
    <t>潘辉
高明</t>
  </si>
  <si>
    <t>1、编写F0 UI自动化case，覆盖核心功能流程
2、运行和调试</t>
  </si>
  <si>
    <t>高明14
潘辉12</t>
  </si>
  <si>
    <t>整理产品化交易类型支持的风控类型及触发条件</t>
  </si>
  <si>
    <t>高明1</t>
  </si>
  <si>
    <t>二期用例库和风控点分成两个sheet，数据获取方式需要调整</t>
  </si>
  <si>
    <t>1、试运行一周
2、问题跟进和排查
3、配置Jenkins任务，测试报告，消息通知等</t>
  </si>
  <si>
    <t>7.28-7.30</t>
  </si>
  <si>
    <t>高明3
潘辉3</t>
  </si>
  <si>
    <t>一阶段测试用例库，梳理交易场景，基于基准库数据查找真实交易数据，填充对比文件数据；</t>
  </si>
  <si>
    <t>5.23-6.6</t>
  </si>
  <si>
    <t>高明10
潘辉1</t>
  </si>
  <si>
    <t>根据一期使用暴露的问题，进行底层和代码优化 
1）根据业务特点尽量抽离公共方法，方便后续场景快速支持
2）</t>
  </si>
  <si>
    <t>1、开始应用到产品化项目回归
2、跟进运行结果，收集问题并优化</t>
  </si>
  <si>
    <t>7.31-8.1</t>
  </si>
  <si>
    <t>高明2
潘辉1</t>
  </si>
  <si>
    <t>1、编写自动化测试case
2、开始在stable环境试运行
3、问题跟进和排查</t>
  </si>
  <si>
    <t>6.9-6.13</t>
  </si>
  <si>
    <t>高明5
潘辉1</t>
  </si>
  <si>
    <t>用例在正式环境运行，Jenkins触发、钉钉通知，提前暴露问题并修复</t>
  </si>
  <si>
    <t>6.16-6.20</t>
  </si>
  <si>
    <t>组织产品化同学进行使用，收集问题</t>
  </si>
  <si>
    <t>新项目接入文档说明</t>
  </si>
  <si>
    <t>高明</t>
  </si>
  <si>
    <t>总览</t>
  </si>
  <si>
    <t>/</t>
  </si>
  <si>
    <t>5.12-6.20</t>
  </si>
  <si>
    <t>高明
潘辉</t>
  </si>
  <si>
    <t>6.23-8.1</t>
  </si>
  <si>
    <t>实际工时</t>
  </si>
  <si>
    <t>1、根据研发的接口文档，结合业务，梳理需要覆盖的接口范围，包含接口的具体参数，如果接口文档不详细，需要抓包确认</t>
  </si>
  <si>
    <t>5.26-6.3</t>
  </si>
  <si>
    <t>1、接入接口自动化，计划使用apifox自带功能或者部署流马测试平台；
2、编写接口自动化case；
3、接入Jenkins平台，实现一键触发运行，提供测试报告，提供消息通知</t>
  </si>
  <si>
    <t>6.4-6.13</t>
  </si>
  <si>
    <t>1、调整case
2、demo试运行</t>
  </si>
  <si>
    <t>1、开始应用到产品化项目回归
2、跟进运行结果</t>
  </si>
  <si>
    <t>6.23-6.27</t>
  </si>
  <si>
    <t>新业务接入文档说明</t>
  </si>
  <si>
    <t>使用问题</t>
  </si>
  <si>
    <t>问题描述</t>
  </si>
  <si>
    <t>解决方案</t>
  </si>
  <si>
    <t>部分功能设置的等待时间是固定时间，在系统慢或者不稳定的时候程序容易跑不通过；</t>
  </si>
  <si>
    <t>1、正常情况不影响程序运行，如果超过等待时间还没生效，要排查接口和功能是否有问题
2、playwright支持不设置等待时间，检测到预期的结果后就继续运行，已知比较慢的功能或接口可以设置合适的等待时间，其他就不设置固定时间，提高脚本运行效率</t>
  </si>
  <si>
    <t>二期版本优化</t>
  </si>
  <si>
    <t xml:space="preserve"> 申请界面要素变量值有设置成固定值，造成我们填写的不一致时不通过；</t>
  </si>
  <si>
    <t xml:space="preserve"> 非必填要素，代码里不要写死，Excel里删除对应列</t>
  </si>
  <si>
    <t>已完成</t>
  </si>
  <si>
    <t>测试报告中有错误信息，但是显示是通过的</t>
  </si>
  <si>
    <t>用例执行，逻辑判断增加流程失败也显示失败</t>
  </si>
  <si>
    <t>测试报告中部分数据没有获取到预期值和实际值信息</t>
  </si>
  <si>
    <t>优化逻辑（调整断言方法，增加检查点、检查结果、结果描述提取值三个判断）
原先逻辑：检查结果不一样，不会往下取结果描述的值，报告展示--
调整逻辑：即使检查结果不一致，也会提取结果描述的值，显示在报告中</t>
  </si>
  <si>
    <t>测试报告中会有前期测试记录的缓存，导致无法很清晰的找到本次测试case对应的报告</t>
  </si>
  <si>
    <t>不是问题，job配置问题，测试和稳定脚本分开配置</t>
  </si>
  <si>
    <t>目前实现的场景还比较初级</t>
  </si>
  <si>
    <t>一期覆盖功能比较简单，二期增加场景覆盖</t>
  </si>
  <si>
    <t>进行中</t>
  </si>
  <si>
    <t>维护用例时间成本会比较高</t>
  </si>
  <si>
    <t>数据用例：固定模版，多余的字段删除，避免干扰；需要注意的内容，维护到wiki使用文档里</t>
  </si>
  <si>
    <t>脚本：当前脚本实现不灵活，公共方法只覆盖一部分功能，需要梳理其他公共功能提取出公用方法，新增用例时直接调用</t>
  </si>
  <si>
    <t>建议</t>
  </si>
  <si>
    <t>目前失败/结束了就会删除数据，不方便排查问题。建议调整一下</t>
  </si>
  <si>
    <t>排查结束后再统一删除数据，恢复基准数据</t>
  </si>
  <si>
    <t>Jenkins上运行时，不能看出目前执行到哪一条case了，建议能够直观看到执行到哪一步了</t>
  </si>
  <si>
    <t>运行时，Jenkins里Console Output，可以看到case执行进度</t>
  </si>
  <si>
    <t>测试报告中，通过的case不能看出实际与预期结果的比对情况，建议也能展示出来</t>
  </si>
  <si>
    <t>一期已实现，新增脚本可能有bug</t>
  </si>
  <si>
    <t>调试过程中尽量多用一些case来跑，一直用一套case难以发现问题。换了case就比较容易发现问题。</t>
  </si>
  <si>
    <t>其他问题-潘辉</t>
  </si>
  <si>
    <t>部署代码麻烦，配置和数据库配置不确认是否有变动</t>
  </si>
  <si>
    <t>建议需求测试完成后，代码都需要合并到stable分支，自动化只部署最新的stable代码就可以；配置走环境变量拉取，打包时选择stable环境变量，获取最新的配置；程序启动时，数据库脚本自动通过flyway自动执行，不需要人为参与</t>
  </si>
  <si>
    <t>新需求，对之前账号和菜单有可能有影响，需要提前处理</t>
  </si>
  <si>
    <t>提前了解需求，调整自动化用例；部署完成后，运行自动化用例前，要提前排查自动化账号的权限是否全，菜单功能是否全，特别是针对新增功能</t>
  </si>
  <si>
    <t>1、第一阶段场景覆盖比较少，暂时还没有直观的提效
2、余枝梅沟通其他公司覆盖的场景
3、测试用例模版，场景覆盖，
4、风控点多的话，维护复杂度的问题，。。。
5、架构问题</t>
  </si>
  <si>
    <t xml:space="preserve">1、一期目标不清晰，能覆盖基本场景，但没有实际使用提效不明显
2、七个风控点，覆盖90%+的场景，对应的风控能够用自动化来执行，不需要人工手动测试
3、18号完成，提前让产品体验
</t>
  </si>
  <si>
    <t>提出人</t>
  </si>
  <si>
    <t>状态</t>
  </si>
  <si>
    <t>目前实现的场景和风控点数量不够。
场景如：一条申请多个子申请单，流程中的风控校验
风控数如：基金可用检查，单券久期，组合久期，组合DV01检查，逆回购投资规模检查</t>
  </si>
  <si>
    <t>回购利率(%)</t>
  </si>
  <si>
    <t>susan</t>
  </si>
  <si>
    <t>UAC自动化002</t>
  </si>
  <si>
    <t>UAC自动化201</t>
  </si>
  <si>
    <t>UAC自动化202</t>
  </si>
  <si>
    <t>--根据业务类型和时间 查询风控结果表 所需要的业务数据</t>
  </si>
  <si>
    <t>SELECT PortfolioNo, RequestNo,RequestSubNo, RequestType, BondKey, CheckPointName, *
FROM RiskCheck_Results
WHERE CheckTime &lt;= '2024-10-15' and RequestType= 323
ORDER BY CheckTime DESC</t>
  </si>
  <si>
    <t>223 银行间现券买卖
226 银行间质押式回购
227 银行间信用拆借
228 国债期货
231 银行间买断式回购
240 普通互换
326 交易所质押式回购
327 交易所协议式回购</t>
  </si>
  <si>
    <t>33数据库</t>
  </si>
  <si>
    <t>✅ 一种是简单 IN 方式：
适合你要同时查询多种业务类型，并查看这些类型是否命中你关心的风控点：</t>
  </si>
  <si>
    <t xml:space="preserve">
SELECT * 
FROM RiskCheck_Results  
WHERE checkpointname IN ('投资总规模检查(固收部)', '债券可用检查')
  AND RequestType IN (223, 226, 231, 323, 326, 327)
  AND CreatedUser = '012904'
ORDER BY CheckTime DESC;</t>
  </si>
  <si>
    <t>找出哪些业务类型 同时 命中这多个风控点</t>
  </si>
  <si>
    <t xml:space="preserve">SELECT RequestType
FROM RiskCheck_Results
WHERE checkpointname IN ('投资总规模检查(固收部)', '债券可用检查')
  AND RequestType IN (223, 226, 231, 323, 326, 327)
  AND CreatedUser = '012904'
GROUP BY RequestType
HAVING COUNT(DISTINCT checkpointname) &gt;= 2;  -- 命中多个风控点
</t>
  </si>
  <si>
    <t xml:space="preserve">SELECT BondKey
FROM RiskCheck_Results
WHERE CheckPointName LIKE '%投资总规模检查%'
   OR CheckPointName LIKE '%债券可用检查%'
   OR CheckPointName LIKE '%基金可用检查%'
   OR CheckPointName LIKE '%单券集中度检查%'
   OR CheckPointName LIKE '%对手方黑白名单检查%'
   OR CheckPointName LIKE '%单基金持仓规模检查%'
   OR CheckPointName LIKE '%组合基金持仓规模检查%'
GROUP BY BondKey
HAVING COUNT(DISTINCT
    CASE
        WHEN CheckPointName LIKE '%投资总规模检查%' THEN '投资总规模检查'
        WHEN CheckPointName LIKE '%债券可用检查%' THEN '债券可用检查'
        WHEN CheckPointName LIKE '%基金可用检查%' THEN '基金可用检查'
        WHEN CheckPointName LIKE '%单券集中度检查%' THEN '单券集中度检查'
        WHEN CheckPointName LIKE '%对手方黑白名单检查%' THEN '对手方黑白名单检查'
        WHEN CheckPointName LIKE '%单基金持仓规模检查%' THEN '单基金持仓规模检查'
        WHEN CheckPointName LIKE '%组合基金持仓规模检查%' THEN '组合基金持仓规模检查'
    END
) = 7;
</t>
  </si>
  <si>
    <t>SELECT *
FROM RiskCheck_Results
WHERE CheckPointName LIKE '%投资总规模检查%'
   OR CheckPointName LIKE '%债券可用检查%'
   OR CheckPointName LIKE '%基金可用检查%'
   OR CheckPointName LIKE '%单券集中度检查%'
   OR CheckPointName LIKE '%对手方黑白名单检查%'
   OR CheckPointName LIKE '%单基金持仓规模检查%'
   OR CheckPointName LIKE '%组合基金持仓规模检查%';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</si>
</sst>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yyyy/m/d;@"/>
    <numFmt numFmtId="178" formatCode="0.00_ "/>
    <numFmt numFmtId="179" formatCode="yyyy\-mm\-dd"/>
  </numFmts>
  <fonts count="46">
    <font>
      <sz val="10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11"/>
      <name val="宋体"/>
      <charset val="134"/>
    </font>
    <font>
      <sz val="10"/>
      <name val="宋体"/>
      <charset val="134"/>
    </font>
    <font>
      <b/>
      <sz val="1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宋体"/>
      <charset val="134"/>
    </font>
    <font>
      <sz val="10"/>
      <name val="Microsoft YaHei"/>
      <charset val="134"/>
    </font>
    <font>
      <sz val="11"/>
      <name val="宋体"/>
      <charset val="134"/>
      <scheme val="minor"/>
    </font>
    <font>
      <sz val="10"/>
      <color rgb="FFC00000"/>
      <name val="宋体"/>
      <charset val="134"/>
    </font>
    <font>
      <b/>
      <sz val="11"/>
      <color rgb="FFC00000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10"/>
      <color rgb="FF000000"/>
      <name val="宋体"/>
      <charset val="134"/>
    </font>
    <font>
      <b/>
      <sz val="10"/>
      <name val="宋体"/>
      <charset val="134"/>
    </font>
    <font>
      <sz val="10"/>
      <color rgb="FFFF0000"/>
      <name val="宋体"/>
      <charset val="134"/>
      <scheme val="minor"/>
    </font>
    <font>
      <sz val="10"/>
      <color rgb="FFFF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C00000"/>
      <name val="宋体"/>
      <charset val="134"/>
    </font>
    <font>
      <b/>
      <sz val="10"/>
      <color rgb="FF000000"/>
      <name val="宋体"/>
      <charset val="134"/>
    </font>
    <font>
      <b/>
      <sz val="11"/>
      <color rgb="FF000000"/>
      <name val="宋体"/>
      <charset val="134"/>
    </font>
    <font>
      <b/>
      <sz val="9"/>
      <color rgb="FF067D17"/>
      <name val="Courier New"/>
      <charset val="134"/>
    </font>
    <font>
      <b/>
      <sz val="9"/>
      <color rgb="FF067D17"/>
      <name val="宋体"/>
      <charset val="134"/>
    </font>
    <font>
      <sz val="10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FDF3D9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9" borderId="19" applyNumberFormat="0" applyAlignment="0" applyProtection="0">
      <alignment vertical="center"/>
    </xf>
    <xf numFmtId="0" fontId="30" fillId="20" borderId="20" applyNumberFormat="0" applyAlignment="0" applyProtection="0">
      <alignment vertical="center"/>
    </xf>
    <xf numFmtId="0" fontId="31" fillId="20" borderId="19" applyNumberFormat="0" applyAlignment="0" applyProtection="0">
      <alignment vertical="center"/>
    </xf>
    <xf numFmtId="0" fontId="32" fillId="21" borderId="21" applyNumberFormat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</cellStyleXfs>
  <cellXfs count="47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0" xfId="0" applyFill="1">
      <alignment vertical="center"/>
    </xf>
    <xf numFmtId="0" fontId="0" fillId="5" borderId="2" xfId="0" applyFill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176" fontId="2" fillId="0" borderId="1" xfId="0" applyNumberFormat="1" applyFont="1" applyBorder="1">
      <alignment vertical="center"/>
    </xf>
    <xf numFmtId="0" fontId="0" fillId="0" borderId="1" xfId="0" applyBorder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177" fontId="3" fillId="6" borderId="1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3" borderId="3" xfId="0" applyFont="1" applyFill="1" applyBorder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3" xfId="0" applyFont="1" applyBorder="1">
      <alignment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4" borderId="1" xfId="0" applyFont="1" applyFill="1" applyBorder="1">
      <alignment vertical="center"/>
    </xf>
    <xf numFmtId="0" fontId="4" fillId="4" borderId="1" xfId="0" applyFont="1" applyFill="1" applyBorder="1" applyAlignment="1">
      <alignment horizontal="left" vertical="center"/>
    </xf>
    <xf numFmtId="0" fontId="4" fillId="4" borderId="3" xfId="0" applyFont="1" applyFill="1" applyBorder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4" xfId="0" applyFont="1" applyBorder="1">
      <alignment vertical="center"/>
    </xf>
    <xf numFmtId="0" fontId="4" fillId="5" borderId="3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7" borderId="1" xfId="0" applyFont="1" applyFill="1" applyBorder="1">
      <alignment vertical="center"/>
    </xf>
    <xf numFmtId="0" fontId="4" fillId="7" borderId="1" xfId="0" applyFont="1" applyFill="1" applyBorder="1" applyAlignment="1">
      <alignment horizontal="left" vertical="center"/>
    </xf>
    <xf numFmtId="0" fontId="4" fillId="7" borderId="3" xfId="0" applyFont="1" applyFill="1" applyBorder="1">
      <alignment vertical="center"/>
    </xf>
    <xf numFmtId="0" fontId="4" fillId="7" borderId="1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0" fontId="4" fillId="4" borderId="2" xfId="0" applyFont="1" applyFill="1" applyBorder="1">
      <alignment vertical="center"/>
    </xf>
    <xf numFmtId="0" fontId="4" fillId="5" borderId="2" xfId="0" applyFont="1" applyFill="1" applyBorder="1">
      <alignment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176" fontId="3" fillId="6" borderId="1" xfId="0" applyNumberFormat="1" applyFont="1" applyFill="1" applyBorder="1" applyAlignment="1">
      <alignment vertical="center" wrapText="1"/>
    </xf>
    <xf numFmtId="176" fontId="2" fillId="0" borderId="1" xfId="0" applyNumberFormat="1" applyFont="1" applyBorder="1" applyAlignment="1"/>
    <xf numFmtId="0" fontId="2" fillId="0" borderId="1" xfId="0" applyFont="1" applyBorder="1" applyAlignment="1"/>
    <xf numFmtId="176" fontId="2" fillId="2" borderId="1" xfId="0" applyNumberFormat="1" applyFont="1" applyFill="1" applyBorder="1" applyAlignment="1"/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/>
    <xf numFmtId="0" fontId="2" fillId="2" borderId="1" xfId="0" applyFont="1" applyFill="1" applyBorder="1">
      <alignment vertical="center"/>
    </xf>
    <xf numFmtId="176" fontId="2" fillId="0" borderId="1" xfId="0" applyNumberFormat="1" applyFont="1" applyFill="1" applyBorder="1" applyAlignment="1"/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/>
    <xf numFmtId="176" fontId="2" fillId="3" borderId="1" xfId="0" applyNumberFormat="1" applyFont="1" applyFill="1" applyBorder="1" applyAlignment="1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/>
    <xf numFmtId="176" fontId="4" fillId="4" borderId="1" xfId="0" applyNumberFormat="1" applyFont="1" applyFill="1" applyBorder="1">
      <alignment vertical="center"/>
    </xf>
    <xf numFmtId="176" fontId="4" fillId="0" borderId="1" xfId="0" applyNumberFormat="1" applyFont="1" applyBorder="1">
      <alignment vertical="center"/>
    </xf>
    <xf numFmtId="0" fontId="4" fillId="0" borderId="2" xfId="0" applyFont="1" applyBorder="1" applyAlignment="1">
      <alignment vertical="center" wrapText="1"/>
    </xf>
    <xf numFmtId="176" fontId="4" fillId="7" borderId="1" xfId="0" applyNumberFormat="1" applyFont="1" applyFill="1" applyBorder="1">
      <alignment vertical="center"/>
    </xf>
    <xf numFmtId="176" fontId="4" fillId="5" borderId="1" xfId="0" applyNumberFormat="1" applyFont="1" applyFill="1" applyBorder="1">
      <alignment vertical="center"/>
    </xf>
    <xf numFmtId="0" fontId="2" fillId="4" borderId="4" xfId="0" applyFont="1" applyFill="1" applyBorder="1" applyAlignment="1">
      <alignment horizontal="left" vertical="center"/>
    </xf>
    <xf numFmtId="176" fontId="2" fillId="4" borderId="1" xfId="0" applyNumberFormat="1" applyFont="1" applyFill="1" applyBorder="1">
      <alignment vertical="center"/>
    </xf>
    <xf numFmtId="0" fontId="2" fillId="0" borderId="4" xfId="0" applyFont="1" applyBorder="1" applyAlignment="1">
      <alignment horizontal="left" vertical="center"/>
    </xf>
    <xf numFmtId="0" fontId="4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0" fillId="3" borderId="1" xfId="0" applyFill="1" applyBorder="1" applyAlignment="1"/>
    <xf numFmtId="0" fontId="0" fillId="4" borderId="2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0" xfId="0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6" xfId="0" applyBorder="1">
      <alignment vertical="center"/>
    </xf>
    <xf numFmtId="0" fontId="0" fillId="0" borderId="3" xfId="0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0" fillId="0" borderId="3" xfId="0" applyBorder="1">
      <alignment vertical="center"/>
    </xf>
    <xf numFmtId="0" fontId="2" fillId="0" borderId="5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8" fontId="0" fillId="0" borderId="3" xfId="0" applyNumberForma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5" fillId="0" borderId="6" xfId="0" applyFont="1" applyBorder="1">
      <alignment vertical="center"/>
    </xf>
    <xf numFmtId="0" fontId="0" fillId="0" borderId="10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177" fontId="3" fillId="6" borderId="0" xfId="0" applyNumberFormat="1" applyFont="1" applyFill="1" applyAlignment="1">
      <alignment horizontal="left" vertical="center"/>
    </xf>
    <xf numFmtId="177" fontId="8" fillId="6" borderId="0" xfId="0" applyNumberFormat="1" applyFont="1" applyFill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4" fillId="0" borderId="3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2" fillId="0" borderId="2" xfId="0" applyFont="1" applyBorder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4" fillId="0" borderId="1" xfId="0" applyFont="1" applyFill="1" applyBorder="1">
      <alignment vertical="center"/>
    </xf>
    <xf numFmtId="0" fontId="8" fillId="0" borderId="1" xfId="0" applyFont="1" applyFill="1" applyBorder="1" applyAlignment="1"/>
    <xf numFmtId="0" fontId="8" fillId="0" borderId="1" xfId="0" applyFont="1" applyBorder="1" applyAlignment="1"/>
    <xf numFmtId="0" fontId="9" fillId="0" borderId="0" xfId="0" applyFont="1">
      <alignment vertical="center"/>
    </xf>
    <xf numFmtId="177" fontId="8" fillId="6" borderId="0" xfId="0" applyNumberFormat="1" applyFont="1" applyFill="1" applyAlignment="1">
      <alignment horizontal="left" vertical="center"/>
    </xf>
    <xf numFmtId="177" fontId="8" fillId="6" borderId="13" xfId="0" applyNumberFormat="1" applyFont="1" applyFill="1" applyBorder="1" applyAlignment="1">
      <alignment horizontal="left" vertical="center"/>
    </xf>
    <xf numFmtId="177" fontId="8" fillId="6" borderId="4" xfId="0" applyNumberFormat="1" applyFont="1" applyFill="1" applyBorder="1" applyAlignment="1">
      <alignment horizontal="left" vertical="center"/>
    </xf>
    <xf numFmtId="0" fontId="8" fillId="6" borderId="0" xfId="0" applyFont="1" applyFill="1">
      <alignment vertical="center"/>
    </xf>
    <xf numFmtId="0" fontId="4" fillId="5" borderId="2" xfId="0" applyFont="1" applyFill="1" applyBorder="1" applyAlignment="1">
      <alignment vertical="center" wrapText="1"/>
    </xf>
    <xf numFmtId="0" fontId="4" fillId="5" borderId="14" xfId="0" applyFont="1" applyFill="1" applyBorder="1">
      <alignment vertical="center"/>
    </xf>
    <xf numFmtId="0" fontId="0" fillId="8" borderId="14" xfId="0" applyFill="1" applyBorder="1">
      <alignment vertical="center"/>
    </xf>
    <xf numFmtId="0" fontId="0" fillId="8" borderId="13" xfId="0" applyFill="1" applyBorder="1">
      <alignment vertical="center"/>
    </xf>
    <xf numFmtId="0" fontId="4" fillId="5" borderId="1" xfId="0" applyFont="1" applyFill="1" applyBorder="1" applyAlignment="1"/>
    <xf numFmtId="0" fontId="4" fillId="5" borderId="5" xfId="0" applyFont="1" applyFill="1" applyBorder="1" applyAlignment="1"/>
    <xf numFmtId="0" fontId="8" fillId="5" borderId="14" xfId="0" applyFont="1" applyFill="1" applyBorder="1">
      <alignment vertical="center"/>
    </xf>
    <xf numFmtId="0" fontId="8" fillId="5" borderId="1" xfId="0" applyFont="1" applyFill="1" applyBorder="1" applyAlignment="1"/>
    <xf numFmtId="0" fontId="0" fillId="5" borderId="13" xfId="0" applyFill="1" applyBorder="1">
      <alignment vertical="center"/>
    </xf>
    <xf numFmtId="0" fontId="4" fillId="0" borderId="1" xfId="0" applyFont="1" applyBorder="1" applyAlignment="1"/>
    <xf numFmtId="0" fontId="8" fillId="0" borderId="1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2" xfId="0" applyFont="1" applyBorder="1" applyAlignment="1"/>
    <xf numFmtId="0" fontId="4" fillId="0" borderId="1" xfId="0" applyFont="1" applyBorder="1" applyAlignment="1">
      <alignment horizontal="right"/>
    </xf>
    <xf numFmtId="0" fontId="2" fillId="5" borderId="0" xfId="0" applyFont="1" applyFill="1">
      <alignment vertical="center"/>
    </xf>
    <xf numFmtId="0" fontId="4" fillId="5" borderId="0" xfId="0" applyFont="1" applyFill="1" applyAlignment="1"/>
    <xf numFmtId="0" fontId="4" fillId="8" borderId="1" xfId="0" applyFont="1" applyFill="1" applyBorder="1">
      <alignment vertical="center"/>
    </xf>
    <xf numFmtId="0" fontId="2" fillId="8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0" fontId="4" fillId="8" borderId="2" xfId="0" applyFont="1" applyFill="1" applyBorder="1">
      <alignment vertical="center"/>
    </xf>
    <xf numFmtId="0" fontId="2" fillId="8" borderId="2" xfId="0" applyFont="1" applyFill="1" applyBorder="1" applyAlignment="1">
      <alignment vertical="center" wrapText="1"/>
    </xf>
    <xf numFmtId="0" fontId="0" fillId="8" borderId="10" xfId="0" applyFill="1" applyBorder="1">
      <alignment vertical="center"/>
    </xf>
    <xf numFmtId="0" fontId="8" fillId="8" borderId="0" xfId="0" applyFont="1" applyFill="1" applyAlignment="1"/>
    <xf numFmtId="0" fontId="0" fillId="8" borderId="5" xfId="0" applyFill="1" applyBorder="1">
      <alignment vertical="center"/>
    </xf>
    <xf numFmtId="0" fontId="8" fillId="8" borderId="5" xfId="0" applyFont="1" applyFill="1" applyBorder="1" applyAlignment="1"/>
    <xf numFmtId="0" fontId="0" fillId="8" borderId="1" xfId="0" applyFill="1" applyBorder="1">
      <alignment vertical="center"/>
    </xf>
    <xf numFmtId="0" fontId="8" fillId="8" borderId="1" xfId="0" applyFont="1" applyFill="1" applyBorder="1" applyAlignment="1"/>
    <xf numFmtId="0" fontId="0" fillId="9" borderId="1" xfId="0" applyFill="1" applyBorder="1">
      <alignment vertical="center"/>
    </xf>
    <xf numFmtId="0" fontId="8" fillId="9" borderId="1" xfId="0" applyFont="1" applyFill="1" applyBorder="1" applyAlignment="1"/>
    <xf numFmtId="0" fontId="4" fillId="9" borderId="1" xfId="0" applyFont="1" applyFill="1" applyBorder="1">
      <alignment vertical="center"/>
    </xf>
    <xf numFmtId="14" fontId="4" fillId="0" borderId="1" xfId="0" applyNumberFormat="1" applyFont="1" applyBorder="1">
      <alignment vertical="center"/>
    </xf>
    <xf numFmtId="0" fontId="4" fillId="9" borderId="2" xfId="0" applyFont="1" applyFill="1" applyBorder="1">
      <alignment vertical="center"/>
    </xf>
    <xf numFmtId="0" fontId="8" fillId="9" borderId="2" xfId="0" applyFont="1" applyFill="1" applyBorder="1" applyAlignment="1"/>
    <xf numFmtId="14" fontId="4" fillId="0" borderId="2" xfId="0" applyNumberFormat="1" applyFont="1" applyBorder="1">
      <alignment vertical="center"/>
    </xf>
    <xf numFmtId="0" fontId="8" fillId="6" borderId="15" xfId="0" applyFont="1" applyFill="1" applyBorder="1">
      <alignment vertical="center"/>
    </xf>
    <xf numFmtId="0" fontId="8" fillId="6" borderId="2" xfId="0" applyFont="1" applyFill="1" applyBorder="1">
      <alignment vertical="center"/>
    </xf>
    <xf numFmtId="0" fontId="8" fillId="0" borderId="0" xfId="0" applyFont="1" applyAlignment="1"/>
    <xf numFmtId="0" fontId="10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177" fontId="8" fillId="6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1" xfId="0" applyFont="1" applyFill="1" applyBorder="1">
      <alignment vertical="center"/>
    </xf>
    <xf numFmtId="0" fontId="8" fillId="5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vertical="center" wrapText="1"/>
    </xf>
    <xf numFmtId="0" fontId="4" fillId="5" borderId="10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/>
    <xf numFmtId="0" fontId="8" fillId="9" borderId="10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/>
    <xf numFmtId="0" fontId="4" fillId="5" borderId="1" xfId="0" applyFont="1" applyFill="1" applyBorder="1" applyAlignment="1">
      <alignment wrapText="1"/>
    </xf>
    <xf numFmtId="0" fontId="8" fillId="5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/>
    <xf numFmtId="0" fontId="4" fillId="5" borderId="6" xfId="0" applyFont="1" applyFill="1" applyBorder="1" applyAlignment="1"/>
    <xf numFmtId="0" fontId="8" fillId="5" borderId="1" xfId="0" applyFont="1" applyFill="1" applyBorder="1" applyAlignment="1">
      <alignment horizontal="left"/>
    </xf>
    <xf numFmtId="0" fontId="4" fillId="5" borderId="15" xfId="0" applyFont="1" applyFill="1" applyBorder="1" applyAlignment="1">
      <alignment horizontal="left" vertical="center" wrapText="1"/>
    </xf>
    <xf numFmtId="0" fontId="4" fillId="5" borderId="11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wrapText="1"/>
    </xf>
    <xf numFmtId="0" fontId="8" fillId="5" borderId="1" xfId="0" applyFont="1" applyFill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2" fillId="5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0" fontId="2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2" fillId="5" borderId="10" xfId="0" applyFont="1" applyFill="1" applyBorder="1">
      <alignment vertical="center"/>
    </xf>
    <xf numFmtId="0" fontId="2" fillId="5" borderId="12" xfId="0" applyFont="1" applyFill="1" applyBorder="1" applyAlignment="1">
      <alignment vertical="center" wrapText="1"/>
    </xf>
    <xf numFmtId="0" fontId="0" fillId="5" borderId="10" xfId="0" applyFill="1" applyBorder="1" applyAlignment="1">
      <alignment horizontal="left" vertical="center"/>
    </xf>
    <xf numFmtId="0" fontId="2" fillId="5" borderId="2" xfId="0" applyFont="1" applyFill="1" applyBorder="1">
      <alignment vertical="center"/>
    </xf>
    <xf numFmtId="0" fontId="0" fillId="5" borderId="12" xfId="0" applyFill="1" applyBorder="1">
      <alignment vertical="center"/>
    </xf>
    <xf numFmtId="0" fontId="2" fillId="5" borderId="3" xfId="0" applyFont="1" applyFill="1" applyBorder="1">
      <alignment vertical="center"/>
    </xf>
    <xf numFmtId="0" fontId="2" fillId="5" borderId="3" xfId="0" applyFont="1" applyFill="1" applyBorder="1" applyAlignment="1">
      <alignment vertical="center" wrapText="1"/>
    </xf>
    <xf numFmtId="0" fontId="4" fillId="5" borderId="3" xfId="0" applyFont="1" applyFill="1" applyBorder="1" applyAlignment="1"/>
    <xf numFmtId="0" fontId="2" fillId="5" borderId="2" xfId="0" applyFont="1" applyFill="1" applyBorder="1" applyAlignment="1">
      <alignment vertical="center" wrapText="1"/>
    </xf>
    <xf numFmtId="0" fontId="0" fillId="8" borderId="1" xfId="0" applyFill="1" applyBorder="1" applyAlignment="1">
      <alignment horizontal="left" vertical="center"/>
    </xf>
    <xf numFmtId="0" fontId="2" fillId="8" borderId="10" xfId="0" applyFont="1" applyFill="1" applyBorder="1">
      <alignment vertical="center"/>
    </xf>
    <xf numFmtId="0" fontId="4" fillId="5" borderId="1" xfId="0" applyFont="1" applyFill="1" applyBorder="1" applyAlignment="1">
      <alignment horizontal="center" vertical="center"/>
    </xf>
    <xf numFmtId="177" fontId="3" fillId="6" borderId="4" xfId="0" applyNumberFormat="1" applyFont="1" applyFill="1" applyBorder="1" applyAlignment="1">
      <alignment horizontal="left" vertical="center"/>
    </xf>
    <xf numFmtId="0" fontId="4" fillId="5" borderId="8" xfId="0" applyFont="1" applyFill="1" applyBorder="1" applyAlignment="1">
      <alignment vertical="center" wrapText="1"/>
    </xf>
    <xf numFmtId="0" fontId="4" fillId="5" borderId="8" xfId="0" applyFont="1" applyFill="1" applyBorder="1" applyAlignment="1"/>
    <xf numFmtId="0" fontId="4" fillId="5" borderId="7" xfId="0" applyFont="1" applyFill="1" applyBorder="1" applyAlignment="1"/>
    <xf numFmtId="0" fontId="4" fillId="5" borderId="7" xfId="0" applyFont="1" applyFill="1" applyBorder="1">
      <alignment vertical="center"/>
    </xf>
    <xf numFmtId="0" fontId="4" fillId="5" borderId="6" xfId="0" applyFont="1" applyFill="1" applyBorder="1">
      <alignment vertical="center"/>
    </xf>
    <xf numFmtId="0" fontId="4" fillId="5" borderId="5" xfId="0" applyFont="1" applyFill="1" applyBorder="1">
      <alignment vertical="center"/>
    </xf>
    <xf numFmtId="0" fontId="3" fillId="6" borderId="0" xfId="0" applyFont="1" applyFill="1">
      <alignment vertical="center"/>
    </xf>
    <xf numFmtId="0" fontId="3" fillId="6" borderId="2" xfId="0" applyFont="1" applyFill="1" applyBorder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15" xfId="0" applyFont="1" applyFill="1" applyBorder="1">
      <alignment vertical="center"/>
    </xf>
    <xf numFmtId="177" fontId="3" fillId="6" borderId="13" xfId="0" applyNumberFormat="1" applyFont="1" applyFill="1" applyBorder="1" applyAlignment="1">
      <alignment horizontal="left" vertical="center"/>
    </xf>
    <xf numFmtId="14" fontId="4" fillId="5" borderId="1" xfId="0" applyNumberFormat="1" applyFont="1" applyFill="1" applyBorder="1" applyAlignment="1">
      <alignment horizontal="right"/>
    </xf>
    <xf numFmtId="14" fontId="4" fillId="5" borderId="5" xfId="0" applyNumberFormat="1" applyFont="1" applyFill="1" applyBorder="1" applyAlignment="1">
      <alignment horizontal="right"/>
    </xf>
    <xf numFmtId="0" fontId="4" fillId="5" borderId="10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14" fontId="2" fillId="5" borderId="1" xfId="0" applyNumberFormat="1" applyFont="1" applyFill="1" applyBorder="1">
      <alignment vertical="center"/>
    </xf>
    <xf numFmtId="14" fontId="4" fillId="5" borderId="1" xfId="0" applyNumberFormat="1" applyFont="1" applyFill="1" applyBorder="1">
      <alignment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5" xfId="0" applyFont="1" applyFill="1" applyBorder="1">
      <alignment vertical="center"/>
    </xf>
    <xf numFmtId="0" fontId="2" fillId="5" borderId="5" xfId="0" applyFont="1" applyFill="1" applyBorder="1" applyAlignment="1">
      <alignment vertical="center" wrapText="1"/>
    </xf>
    <xf numFmtId="14" fontId="4" fillId="5" borderId="1" xfId="0" applyNumberFormat="1" applyFont="1" applyFill="1" applyBorder="1" applyAlignment="1"/>
    <xf numFmtId="0" fontId="2" fillId="5" borderId="14" xfId="0" applyFont="1" applyFill="1" applyBorder="1">
      <alignment vertical="center"/>
    </xf>
    <xf numFmtId="0" fontId="2" fillId="5" borderId="13" xfId="0" applyFont="1" applyFill="1" applyBorder="1">
      <alignment vertical="center"/>
    </xf>
    <xf numFmtId="177" fontId="8" fillId="6" borderId="13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/>
    </xf>
    <xf numFmtId="177" fontId="8" fillId="6" borderId="2" xfId="0" applyNumberFormat="1" applyFont="1" applyFill="1" applyBorder="1" applyAlignment="1">
      <alignment horizontal="left" vertical="center"/>
    </xf>
    <xf numFmtId="177" fontId="8" fillId="6" borderId="2" xfId="0" applyNumberFormat="1" applyFont="1" applyFill="1" applyBorder="1" applyAlignment="1">
      <alignment horizontal="left" vertical="center" wrapText="1"/>
    </xf>
    <xf numFmtId="177" fontId="8" fillId="6" borderId="15" xfId="0" applyNumberFormat="1" applyFont="1" applyFill="1" applyBorder="1" applyAlignment="1">
      <alignment horizontal="left" vertical="center" wrapText="1"/>
    </xf>
    <xf numFmtId="177" fontId="8" fillId="6" borderId="1" xfId="0" applyNumberFormat="1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10" fontId="4" fillId="5" borderId="1" xfId="0" applyNumberFormat="1" applyFont="1" applyFill="1" applyBorder="1" applyAlignment="1">
      <alignment horizontal="left" vertical="center" wrapText="1"/>
    </xf>
    <xf numFmtId="10" fontId="4" fillId="5" borderId="6" xfId="0" applyNumberFormat="1" applyFont="1" applyFill="1" applyBorder="1" applyAlignment="1">
      <alignment horizontal="right" vertical="center" wrapText="1"/>
    </xf>
    <xf numFmtId="9" fontId="4" fillId="5" borderId="1" xfId="0" applyNumberFormat="1" applyFont="1" applyFill="1" applyBorder="1" applyAlignment="1">
      <alignment horizontal="left" vertical="center" wrapText="1"/>
    </xf>
    <xf numFmtId="9" fontId="4" fillId="5" borderId="6" xfId="0" applyNumberFormat="1" applyFont="1" applyFill="1" applyBorder="1" applyAlignment="1">
      <alignment horizontal="right" vertical="center" wrapText="1"/>
    </xf>
    <xf numFmtId="0" fontId="4" fillId="5" borderId="6" xfId="0" applyFont="1" applyFill="1" applyBorder="1" applyAlignment="1">
      <alignment horizontal="right" vertical="center" wrapText="1"/>
    </xf>
    <xf numFmtId="0" fontId="4" fillId="5" borderId="15" xfId="0" applyFont="1" applyFill="1" applyBorder="1" applyAlignment="1">
      <alignment horizontal="right" vertical="center" wrapText="1"/>
    </xf>
    <xf numFmtId="0" fontId="2" fillId="0" borderId="11" xfId="0" applyFont="1" applyBorder="1">
      <alignment vertical="center"/>
    </xf>
    <xf numFmtId="0" fontId="0" fillId="0" borderId="7" xfId="0" applyBorder="1">
      <alignment vertical="center"/>
    </xf>
    <xf numFmtId="10" fontId="4" fillId="5" borderId="2" xfId="0" applyNumberFormat="1" applyFont="1" applyFill="1" applyBorder="1" applyAlignment="1">
      <alignment horizontal="left" vertical="center" wrapText="1"/>
    </xf>
    <xf numFmtId="10" fontId="4" fillId="5" borderId="15" xfId="0" applyNumberFormat="1" applyFont="1" applyFill="1" applyBorder="1" applyAlignment="1">
      <alignment horizontal="right" vertical="center" wrapText="1"/>
    </xf>
    <xf numFmtId="0" fontId="2" fillId="0" borderId="7" xfId="0" applyFont="1" applyBorder="1">
      <alignment vertical="center"/>
    </xf>
    <xf numFmtId="9" fontId="4" fillId="5" borderId="2" xfId="0" applyNumberFormat="1" applyFont="1" applyFill="1" applyBorder="1" applyAlignment="1">
      <alignment horizontal="left" vertical="center" wrapText="1"/>
    </xf>
    <xf numFmtId="0" fontId="2" fillId="5" borderId="6" xfId="0" applyFont="1" applyFill="1" applyBorder="1">
      <alignment vertical="center"/>
    </xf>
    <xf numFmtId="0" fontId="4" fillId="5" borderId="5" xfId="0" applyFont="1" applyFill="1" applyBorder="1" applyAlignment="1">
      <alignment horizontal="left" wrapText="1"/>
    </xf>
    <xf numFmtId="0" fontId="4" fillId="5" borderId="5" xfId="0" applyFont="1" applyFill="1" applyBorder="1" applyAlignment="1">
      <alignment wrapText="1"/>
    </xf>
    <xf numFmtId="0" fontId="4" fillId="5" borderId="1" xfId="0" applyFont="1" applyFill="1" applyBorder="1" applyAlignment="1">
      <alignment horizontal="left" wrapText="1"/>
    </xf>
    <xf numFmtId="0" fontId="11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1" fillId="0" borderId="0" xfId="0" applyFont="1">
      <alignment vertical="center"/>
    </xf>
    <xf numFmtId="0" fontId="0" fillId="10" borderId="0" xfId="0" applyFill="1">
      <alignment vertical="center"/>
    </xf>
    <xf numFmtId="0" fontId="2" fillId="0" borderId="1" xfId="0" applyFont="1" applyBorder="1" applyAlignment="1">
      <alignment horizontal="right" vertical="center"/>
    </xf>
    <xf numFmtId="177" fontId="12" fillId="6" borderId="1" xfId="0" applyNumberFormat="1" applyFont="1" applyFill="1" applyBorder="1" applyAlignment="1">
      <alignment horizontal="right" vertical="center"/>
    </xf>
    <xf numFmtId="177" fontId="12" fillId="6" borderId="1" xfId="0" applyNumberFormat="1" applyFont="1" applyFill="1" applyBorder="1" applyAlignment="1">
      <alignment horizontal="left" vertical="center"/>
    </xf>
    <xf numFmtId="177" fontId="12" fillId="6" borderId="1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/>
    </xf>
    <xf numFmtId="0" fontId="13" fillId="5" borderId="1" xfId="0" applyFont="1" applyFill="1" applyBorder="1">
      <alignment vertical="center"/>
    </xf>
    <xf numFmtId="0" fontId="14" fillId="0" borderId="1" xfId="0" applyFont="1" applyBorder="1">
      <alignment vertical="center"/>
    </xf>
    <xf numFmtId="0" fontId="2" fillId="5" borderId="2" xfId="0" applyFont="1" applyFill="1" applyBorder="1" applyAlignment="1">
      <alignment horizontal="right" vertical="center"/>
    </xf>
    <xf numFmtId="0" fontId="4" fillId="10" borderId="1" xfId="0" applyFont="1" applyFill="1" applyBorder="1">
      <alignment vertical="center"/>
    </xf>
    <xf numFmtId="0" fontId="2" fillId="10" borderId="1" xfId="0" applyFont="1" applyFill="1" applyBorder="1" applyAlignment="1">
      <alignment vertical="center" wrapText="1"/>
    </xf>
    <xf numFmtId="0" fontId="2" fillId="10" borderId="0" xfId="0" applyFont="1" applyFill="1">
      <alignment vertical="center"/>
    </xf>
    <xf numFmtId="0" fontId="6" fillId="10" borderId="0" xfId="0" applyFont="1" applyFill="1">
      <alignment vertical="center"/>
    </xf>
    <xf numFmtId="0" fontId="0" fillId="11" borderId="0" xfId="0" applyFill="1">
      <alignment vertical="center"/>
    </xf>
    <xf numFmtId="176" fontId="0" fillId="0" borderId="0" xfId="0" applyNumberFormat="1">
      <alignment vertical="center"/>
    </xf>
    <xf numFmtId="177" fontId="3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>
      <alignment vertical="center"/>
    </xf>
    <xf numFmtId="0" fontId="13" fillId="0" borderId="1" xfId="0" applyFont="1" applyBorder="1">
      <alignment vertical="center"/>
    </xf>
    <xf numFmtId="0" fontId="15" fillId="10" borderId="1" xfId="0" applyFont="1" applyFill="1" applyBorder="1">
      <alignment vertical="center"/>
    </xf>
    <xf numFmtId="0" fontId="15" fillId="10" borderId="1" xfId="0" applyFont="1" applyFill="1" applyBorder="1" applyAlignment="1">
      <alignment vertical="center" wrapText="1"/>
    </xf>
    <xf numFmtId="0" fontId="4" fillId="11" borderId="1" xfId="0" applyFont="1" applyFill="1" applyBorder="1">
      <alignment vertical="center"/>
    </xf>
    <xf numFmtId="0" fontId="8" fillId="11" borderId="1" xfId="0" applyFont="1" applyFill="1" applyBorder="1" applyAlignment="1"/>
    <xf numFmtId="0" fontId="4" fillId="0" borderId="0" xfId="0" applyFont="1">
      <alignment vertical="center"/>
    </xf>
    <xf numFmtId="0" fontId="12" fillId="6" borderId="1" xfId="0" applyFont="1" applyFill="1" applyBorder="1">
      <alignment vertical="center"/>
    </xf>
    <xf numFmtId="176" fontId="12" fillId="6" borderId="1" xfId="0" applyNumberFormat="1" applyFont="1" applyFill="1" applyBorder="1">
      <alignment vertical="center"/>
    </xf>
    <xf numFmtId="179" fontId="4" fillId="0" borderId="1" xfId="0" applyNumberFormat="1" applyFont="1" applyBorder="1">
      <alignment vertical="center"/>
    </xf>
    <xf numFmtId="179" fontId="15" fillId="10" borderId="1" xfId="0" applyNumberFormat="1" applyFont="1" applyFill="1" applyBorder="1">
      <alignment vertical="center"/>
    </xf>
    <xf numFmtId="176" fontId="15" fillId="10" borderId="1" xfId="0" applyNumberFormat="1" applyFont="1" applyFill="1" applyBorder="1">
      <alignment vertical="center"/>
    </xf>
    <xf numFmtId="179" fontId="4" fillId="11" borderId="1" xfId="0" applyNumberFormat="1" applyFont="1" applyFill="1" applyBorder="1">
      <alignment vertical="center"/>
    </xf>
    <xf numFmtId="176" fontId="4" fillId="11" borderId="1" xfId="0" applyNumberFormat="1" applyFont="1" applyFill="1" applyBorder="1">
      <alignment vertical="center"/>
    </xf>
    <xf numFmtId="176" fontId="8" fillId="0" borderId="1" xfId="0" applyNumberFormat="1" applyFont="1" applyBorder="1" applyAlignment="1"/>
    <xf numFmtId="176" fontId="4" fillId="0" borderId="0" xfId="0" applyNumberFormat="1" applyFont="1">
      <alignment vertical="center"/>
    </xf>
    <xf numFmtId="14" fontId="15" fillId="10" borderId="1" xfId="0" applyNumberFormat="1" applyFont="1" applyFill="1" applyBorder="1">
      <alignment vertical="center"/>
    </xf>
    <xf numFmtId="3" fontId="4" fillId="0" borderId="1" xfId="0" applyNumberFormat="1" applyFont="1" applyBorder="1">
      <alignment vertical="center"/>
    </xf>
    <xf numFmtId="0" fontId="16" fillId="0" borderId="0" xfId="0" applyFont="1">
      <alignment vertical="center"/>
    </xf>
    <xf numFmtId="0" fontId="15" fillId="10" borderId="0" xfId="0" applyFont="1" applyFill="1">
      <alignment vertical="center"/>
    </xf>
    <xf numFmtId="0" fontId="4" fillId="11" borderId="0" xfId="0" applyFont="1" applyFill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12" fillId="6" borderId="0" xfId="0" applyFont="1" applyFill="1" applyAlignment="1">
      <alignment horizontal="left" vertical="center" wrapText="1"/>
    </xf>
    <xf numFmtId="176" fontId="12" fillId="6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176" fontId="4" fillId="0" borderId="1" xfId="0" applyNumberFormat="1" applyFont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left" vertical="center"/>
    </xf>
    <xf numFmtId="176" fontId="4" fillId="12" borderId="1" xfId="0" applyNumberFormat="1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176" fontId="4" fillId="0" borderId="1" xfId="0" applyNumberFormat="1" applyFont="1" applyBorder="1" applyAlignment="1">
      <alignment horizontal="left"/>
    </xf>
    <xf numFmtId="176" fontId="4" fillId="5" borderId="1" xfId="0" applyNumberFormat="1" applyFont="1" applyFill="1" applyBorder="1" applyAlignment="1">
      <alignment horizontal="left"/>
    </xf>
    <xf numFmtId="0" fontId="4" fillId="11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177" fontId="12" fillId="6" borderId="0" xfId="0" applyNumberFormat="1" applyFont="1" applyFill="1" applyAlignment="1">
      <alignment horizontal="left" vertical="center" wrapText="1"/>
    </xf>
    <xf numFmtId="177" fontId="3" fillId="6" borderId="2" xfId="0" applyNumberFormat="1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0" borderId="4" xfId="0" applyFont="1" applyFill="1" applyBorder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Fill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176" fontId="4" fillId="5" borderId="1" xfId="0" applyNumberFormat="1" applyFont="1" applyFill="1" applyBorder="1" applyAlignment="1">
      <alignment horizontal="left" wrapText="1"/>
    </xf>
    <xf numFmtId="176" fontId="2" fillId="5" borderId="0" xfId="0" applyNumberFormat="1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/>
    <xf numFmtId="0" fontId="8" fillId="5" borderId="6" xfId="0" applyFont="1" applyFill="1" applyBorder="1" applyAlignment="1"/>
    <xf numFmtId="0" fontId="0" fillId="5" borderId="1" xfId="0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4" fillId="0" borderId="6" xfId="0" applyFont="1" applyBorder="1" applyAlignment="1"/>
    <xf numFmtId="0" fontId="4" fillId="13" borderId="6" xfId="0" applyFont="1" applyFill="1" applyBorder="1">
      <alignment vertical="center"/>
    </xf>
    <xf numFmtId="0" fontId="4" fillId="0" borderId="6" xfId="0" applyFont="1" applyBorder="1">
      <alignment vertical="center"/>
    </xf>
    <xf numFmtId="10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4" fontId="4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>
      <alignment vertical="center"/>
    </xf>
    <xf numFmtId="177" fontId="12" fillId="2" borderId="1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5" borderId="0" xfId="0" applyFont="1" applyFill="1">
      <alignment vertical="center"/>
    </xf>
    <xf numFmtId="0" fontId="8" fillId="5" borderId="0" xfId="0" applyFont="1" applyFill="1" applyAlignment="1"/>
    <xf numFmtId="0" fontId="2" fillId="5" borderId="3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4" fillId="14" borderId="1" xfId="0" applyFont="1" applyFill="1" applyBorder="1">
      <alignment vertical="center"/>
    </xf>
    <xf numFmtId="0" fontId="4" fillId="14" borderId="1" xfId="0" applyFont="1" applyFill="1" applyBorder="1" applyAlignment="1">
      <alignment horizontal="left" vertical="center"/>
    </xf>
    <xf numFmtId="0" fontId="4" fillId="15" borderId="1" xfId="0" applyFont="1" applyFill="1" applyBorder="1">
      <alignment vertical="center"/>
    </xf>
    <xf numFmtId="0" fontId="2" fillId="5" borderId="5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7" fillId="5" borderId="1" xfId="0" applyFont="1" applyFill="1" applyBorder="1">
      <alignment vertical="center"/>
    </xf>
    <xf numFmtId="0" fontId="2" fillId="0" borderId="4" xfId="0" applyFont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2" fontId="4" fillId="5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17" fillId="0" borderId="1" xfId="0" applyFont="1" applyBorder="1">
      <alignment vertical="center"/>
    </xf>
    <xf numFmtId="0" fontId="17" fillId="0" borderId="1" xfId="0" applyFont="1" applyBorder="1" applyAlignment="1">
      <alignment vertical="center" wrapText="1"/>
    </xf>
    <xf numFmtId="2" fontId="18" fillId="5" borderId="1" xfId="0" applyNumberFormat="1" applyFont="1" applyFill="1" applyBorder="1" applyAlignment="1">
      <alignment horizontal="righ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2" fontId="4" fillId="5" borderId="1" xfId="0" applyNumberFormat="1" applyFont="1" applyFill="1" applyBorder="1" applyAlignment="1">
      <alignment vertical="center" wrapText="1"/>
    </xf>
    <xf numFmtId="10" fontId="4" fillId="5" borderId="1" xfId="0" applyNumberFormat="1" applyFont="1" applyFill="1" applyBorder="1">
      <alignment vertical="center"/>
    </xf>
    <xf numFmtId="14" fontId="4" fillId="5" borderId="1" xfId="0" applyNumberFormat="1" applyFont="1" applyFill="1" applyBorder="1" applyAlignment="1">
      <alignment wrapText="1"/>
    </xf>
    <xf numFmtId="0" fontId="18" fillId="5" borderId="1" xfId="0" applyFont="1" applyFill="1" applyBorder="1" applyAlignment="1">
      <alignment horizontal="right" vertical="center" wrapText="1"/>
    </xf>
    <xf numFmtId="0" fontId="18" fillId="5" borderId="1" xfId="0" applyFont="1" applyFill="1" applyBorder="1">
      <alignment vertical="center"/>
    </xf>
    <xf numFmtId="0" fontId="18" fillId="5" borderId="1" xfId="0" applyFont="1" applyFill="1" applyBorder="1" applyAlignment="1"/>
    <xf numFmtId="14" fontId="18" fillId="5" borderId="1" xfId="0" applyNumberFormat="1" applyFont="1" applyFill="1" applyBorder="1" applyAlignment="1"/>
    <xf numFmtId="14" fontId="18" fillId="5" borderId="1" xfId="0" applyNumberFormat="1" applyFont="1" applyFill="1" applyBorder="1" applyAlignment="1">
      <alignment wrapText="1"/>
    </xf>
    <xf numFmtId="4" fontId="2" fillId="5" borderId="1" xfId="0" applyNumberFormat="1" applyFont="1" applyFill="1" applyBorder="1" applyAlignment="1">
      <alignment horizontal="right" vertical="center"/>
    </xf>
    <xf numFmtId="4" fontId="2" fillId="5" borderId="1" xfId="0" applyNumberFormat="1" applyFont="1" applyFill="1" applyBorder="1">
      <alignment vertical="center"/>
    </xf>
    <xf numFmtId="4" fontId="2" fillId="5" borderId="1" xfId="0" applyNumberFormat="1" applyFont="1" applyFill="1" applyBorder="1" applyAlignment="1">
      <alignment horizontal="right" vertical="center" wrapText="1"/>
    </xf>
    <xf numFmtId="2" fontId="2" fillId="5" borderId="1" xfId="0" applyNumberFormat="1" applyFont="1" applyFill="1" applyBorder="1">
      <alignment vertical="center"/>
    </xf>
    <xf numFmtId="4" fontId="4" fillId="5" borderId="1" xfId="0" applyNumberFormat="1" applyFont="1" applyFill="1" applyBorder="1" applyAlignment="1"/>
    <xf numFmtId="4" fontId="17" fillId="5" borderId="1" xfId="0" applyNumberFormat="1" applyFont="1" applyFill="1" applyBorder="1" applyAlignment="1">
      <alignment horizontal="right" vertical="center"/>
    </xf>
    <xf numFmtId="4" fontId="18" fillId="5" borderId="1" xfId="0" applyNumberFormat="1" applyFont="1" applyFill="1" applyBorder="1" applyAlignment="1"/>
    <xf numFmtId="4" fontId="17" fillId="5" borderId="1" xfId="0" applyNumberFormat="1" applyFont="1" applyFill="1" applyBorder="1">
      <alignment vertical="center"/>
    </xf>
    <xf numFmtId="0" fontId="0" fillId="5" borderId="5" xfId="0" applyFill="1" applyBorder="1">
      <alignment vertical="center"/>
    </xf>
    <xf numFmtId="0" fontId="0" fillId="5" borderId="5" xfId="0" applyFill="1" applyBorder="1" applyAlignment="1">
      <alignment vertical="center" wrapText="1"/>
    </xf>
    <xf numFmtId="0" fontId="17" fillId="5" borderId="1" xfId="0" applyFont="1" applyFill="1" applyBorder="1" applyAlignment="1">
      <alignment vertical="center" wrapText="1"/>
    </xf>
    <xf numFmtId="0" fontId="0" fillId="6" borderId="0" xfId="0" applyFill="1">
      <alignment vertical="center"/>
    </xf>
    <xf numFmtId="177" fontId="19" fillId="6" borderId="1" xfId="0" applyNumberFormat="1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2" xfId="0" applyFont="1" applyBorder="1">
      <alignment vertical="center"/>
    </xf>
    <xf numFmtId="0" fontId="4" fillId="0" borderId="2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vertical="center" wrapText="1"/>
    </xf>
    <xf numFmtId="0" fontId="2" fillId="0" borderId="6" xfId="0" applyFont="1" applyBorder="1">
      <alignment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0" fillId="0" borderId="1" xfId="0" applyFill="1" applyBorder="1" applyAlignment="1">
      <alignment horizontal="left" vertical="center"/>
    </xf>
    <xf numFmtId="0" fontId="4" fillId="16" borderId="1" xfId="0" applyFont="1" applyFill="1" applyBorder="1" applyAlignment="1">
      <alignment vertical="center" wrapText="1"/>
    </xf>
    <xf numFmtId="0" fontId="0" fillId="0" borderId="2" xfId="0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1" fillId="0" borderId="6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17" borderId="6" xfId="0" applyFill="1" applyBorder="1">
      <alignment vertical="center"/>
    </xf>
    <xf numFmtId="0" fontId="0" fillId="16" borderId="1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17" borderId="6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只有测试场景"/>
  <dimension ref="A1:F222"/>
  <sheetViews>
    <sheetView workbookViewId="0">
      <selection activeCell="A1" sqref="A1"/>
    </sheetView>
  </sheetViews>
  <sheetFormatPr defaultColWidth="14" defaultRowHeight="18" customHeight="1" outlineLevelCol="5"/>
  <cols>
    <col min="1" max="1" width="33.1944444444444" hidden="1" customWidth="1"/>
    <col min="2" max="2" width="26.8518518518519" style="13" customWidth="1"/>
    <col min="3" max="3" width="52.6203703703704" style="13" customWidth="1"/>
    <col min="4" max="4" width="26.8518518518519" style="13" customWidth="1"/>
    <col min="5" max="5" width="21.3148148148148" style="13" customWidth="1"/>
    <col min="6" max="6" width="42.712962962963" customWidth="1"/>
    <col min="7" max="7" width="23.712962962963" customWidth="1"/>
    <col min="8" max="26" width="13.712962962963" customWidth="1"/>
  </cols>
  <sheetData>
    <row r="1" ht="41.25" customHeight="1" spans="1:5">
      <c r="A1" s="464" t="s">
        <v>0</v>
      </c>
      <c r="B1" s="465" t="s">
        <v>1</v>
      </c>
      <c r="C1" s="129" t="s">
        <v>2</v>
      </c>
      <c r="D1" s="129" t="s">
        <v>3</v>
      </c>
      <c r="E1" s="129" t="s">
        <v>4</v>
      </c>
    </row>
    <row r="2" ht="25.5" customHeight="1" spans="1:6">
      <c r="A2" s="281" t="s">
        <v>5</v>
      </c>
      <c r="B2" s="19" t="s">
        <v>6</v>
      </c>
      <c r="C2" s="15" t="s">
        <v>7</v>
      </c>
      <c r="D2" s="19" t="s">
        <v>8</v>
      </c>
      <c r="E2" s="13" t="s">
        <v>9</v>
      </c>
      <c r="F2" s="1"/>
    </row>
    <row r="3" ht="12" spans="1:5">
      <c r="A3" s="281"/>
      <c r="C3" s="15" t="s">
        <v>7</v>
      </c>
      <c r="D3" s="13" t="s">
        <v>10</v>
      </c>
      <c r="E3" s="13" t="s">
        <v>11</v>
      </c>
    </row>
    <row r="4" ht="12" spans="1:5">
      <c r="A4" s="281"/>
      <c r="C4" s="15" t="s">
        <v>12</v>
      </c>
      <c r="E4" s="13" t="s">
        <v>11</v>
      </c>
    </row>
    <row r="5" ht="12" spans="1:5">
      <c r="A5" s="281"/>
      <c r="C5" s="15" t="s">
        <v>13</v>
      </c>
      <c r="E5" s="13" t="s">
        <v>14</v>
      </c>
    </row>
    <row r="6" ht="12" spans="1:5">
      <c r="A6" s="281"/>
      <c r="C6" s="15" t="s">
        <v>15</v>
      </c>
      <c r="E6" s="13" t="s">
        <v>16</v>
      </c>
    </row>
    <row r="7" ht="12" spans="1:5">
      <c r="A7" s="109"/>
      <c r="B7" s="19" t="s">
        <v>17</v>
      </c>
      <c r="C7" s="15" t="s">
        <v>7</v>
      </c>
      <c r="D7" s="13" t="s">
        <v>18</v>
      </c>
      <c r="E7" s="13" t="s">
        <v>19</v>
      </c>
    </row>
    <row r="8" ht="12" spans="1:5">
      <c r="A8" s="109"/>
      <c r="C8" s="15" t="s">
        <v>7</v>
      </c>
      <c r="D8" s="13" t="s">
        <v>18</v>
      </c>
      <c r="E8" s="13" t="s">
        <v>20</v>
      </c>
    </row>
    <row r="9" ht="12" spans="1:5">
      <c r="A9" s="109"/>
      <c r="C9" s="15" t="s">
        <v>12</v>
      </c>
      <c r="D9" s="13" t="s">
        <v>18</v>
      </c>
      <c r="E9" s="13" t="s">
        <v>20</v>
      </c>
    </row>
    <row r="10" ht="12" spans="1:5">
      <c r="A10" s="109"/>
      <c r="C10" s="15" t="s">
        <v>7</v>
      </c>
      <c r="D10" s="13" t="s">
        <v>21</v>
      </c>
      <c r="E10" s="13" t="s">
        <v>22</v>
      </c>
    </row>
    <row r="11" ht="12" spans="1:5">
      <c r="A11" s="109"/>
      <c r="C11" s="15" t="s">
        <v>23</v>
      </c>
      <c r="D11" s="13" t="s">
        <v>21</v>
      </c>
      <c r="E11" s="13" t="s">
        <v>24</v>
      </c>
    </row>
    <row r="12" ht="12" spans="1:5">
      <c r="A12" s="109"/>
      <c r="C12" s="15" t="s">
        <v>13</v>
      </c>
      <c r="E12" s="13" t="s">
        <v>14</v>
      </c>
    </row>
    <row r="13" ht="12" spans="1:5">
      <c r="A13" s="109"/>
      <c r="C13" s="15" t="s">
        <v>15</v>
      </c>
      <c r="E13" s="13" t="s">
        <v>16</v>
      </c>
    </row>
    <row r="14" ht="12" spans="1:3">
      <c r="A14" s="109" t="s">
        <v>25</v>
      </c>
      <c r="B14" s="19" t="s">
        <v>26</v>
      </c>
      <c r="C14" s="15" t="s">
        <v>27</v>
      </c>
    </row>
    <row r="15" ht="12" spans="1:3">
      <c r="A15" s="109"/>
      <c r="C15" s="15" t="s">
        <v>28</v>
      </c>
    </row>
    <row r="16" ht="12" spans="1:3">
      <c r="A16" s="109"/>
      <c r="C16" s="15" t="s">
        <v>29</v>
      </c>
    </row>
    <row r="17" ht="12" spans="1:3">
      <c r="A17" s="109"/>
      <c r="C17" s="15" t="s">
        <v>30</v>
      </c>
    </row>
    <row r="18" ht="12" spans="1:3">
      <c r="A18" s="109" t="s">
        <v>31</v>
      </c>
      <c r="B18" s="19" t="s">
        <v>32</v>
      </c>
      <c r="C18" s="15" t="s">
        <v>33</v>
      </c>
    </row>
    <row r="19" ht="12" spans="1:3">
      <c r="A19" s="109"/>
      <c r="C19" s="15" t="s">
        <v>34</v>
      </c>
    </row>
    <row r="20" ht="12" spans="1:3">
      <c r="A20" s="109"/>
      <c r="C20" s="15" t="s">
        <v>35</v>
      </c>
    </row>
    <row r="21" ht="12" spans="1:3">
      <c r="A21" s="109"/>
      <c r="C21" s="15" t="s">
        <v>36</v>
      </c>
    </row>
    <row r="22" ht="25.5" customHeight="1" spans="1:5">
      <c r="A22" s="466" t="s">
        <v>37</v>
      </c>
      <c r="B22" s="467" t="s">
        <v>38</v>
      </c>
      <c r="C22" s="15" t="s">
        <v>39</v>
      </c>
      <c r="D22" s="16" t="s">
        <v>40</v>
      </c>
      <c r="E22" s="19"/>
    </row>
    <row r="23" ht="12" spans="1:3">
      <c r="A23" s="109"/>
      <c r="C23" s="15" t="s">
        <v>41</v>
      </c>
    </row>
    <row r="24" ht="12" spans="1:3">
      <c r="A24" s="109"/>
      <c r="C24" s="15" t="s">
        <v>42</v>
      </c>
    </row>
    <row r="25" ht="12" spans="1:3">
      <c r="A25" s="109"/>
      <c r="C25" s="15" t="s">
        <v>43</v>
      </c>
    </row>
    <row r="26" ht="12" spans="1:3">
      <c r="A26" s="109" t="s">
        <v>44</v>
      </c>
      <c r="B26" s="19" t="s">
        <v>45</v>
      </c>
      <c r="C26" s="15" t="s">
        <v>46</v>
      </c>
    </row>
    <row r="27" ht="12" spans="1:3">
      <c r="A27" s="109"/>
      <c r="C27" s="15" t="s">
        <v>47</v>
      </c>
    </row>
    <row r="28" ht="12" spans="1:3">
      <c r="A28" s="109"/>
      <c r="C28" s="15" t="s">
        <v>48</v>
      </c>
    </row>
    <row r="29" ht="12" spans="1:3">
      <c r="A29" s="109"/>
      <c r="C29" s="15" t="s">
        <v>49</v>
      </c>
    </row>
    <row r="30" ht="12" spans="1:5">
      <c r="A30" s="466" t="s">
        <v>50</v>
      </c>
      <c r="B30" s="467" t="s">
        <v>51</v>
      </c>
      <c r="C30" s="15" t="s">
        <v>52</v>
      </c>
      <c r="D30" s="16" t="s">
        <v>40</v>
      </c>
      <c r="E30" s="19"/>
    </row>
    <row r="31" ht="12" spans="1:3">
      <c r="A31" s="109"/>
      <c r="C31" s="15" t="s">
        <v>53</v>
      </c>
    </row>
    <row r="32" ht="12" spans="1:3">
      <c r="A32" s="109"/>
      <c r="C32" s="15" t="s">
        <v>54</v>
      </c>
    </row>
    <row r="33" ht="12" spans="1:3">
      <c r="A33" s="109"/>
      <c r="C33" s="15" t="s">
        <v>55</v>
      </c>
    </row>
    <row r="34" ht="12" spans="1:3">
      <c r="A34" s="109" t="s">
        <v>56</v>
      </c>
      <c r="B34" s="19" t="s">
        <v>57</v>
      </c>
      <c r="C34" s="15" t="s">
        <v>58</v>
      </c>
    </row>
    <row r="35" ht="12" spans="1:3">
      <c r="A35" s="109"/>
      <c r="C35" s="15" t="s">
        <v>59</v>
      </c>
    </row>
    <row r="36" ht="12" spans="1:3">
      <c r="A36" s="109"/>
      <c r="C36" s="15" t="s">
        <v>60</v>
      </c>
    </row>
    <row r="37" ht="12" spans="1:3">
      <c r="A37" s="109"/>
      <c r="C37" s="15" t="s">
        <v>61</v>
      </c>
    </row>
    <row r="38" ht="12" spans="1:3">
      <c r="A38" s="109" t="s">
        <v>62</v>
      </c>
      <c r="B38" s="19" t="s">
        <v>63</v>
      </c>
      <c r="C38" s="15" t="s">
        <v>64</v>
      </c>
    </row>
    <row r="39" ht="12" spans="1:3">
      <c r="A39" s="109"/>
      <c r="C39" s="15" t="s">
        <v>65</v>
      </c>
    </row>
    <row r="40" ht="12" spans="1:3">
      <c r="A40" s="109"/>
      <c r="C40" s="15" t="s">
        <v>66</v>
      </c>
    </row>
    <row r="41" ht="12" spans="1:3">
      <c r="A41" s="109"/>
      <c r="C41" s="15" t="s">
        <v>67</v>
      </c>
    </row>
    <row r="42" ht="12" spans="1:3">
      <c r="A42" s="109" t="s">
        <v>68</v>
      </c>
      <c r="B42" s="19" t="s">
        <v>69</v>
      </c>
      <c r="C42" s="15" t="s">
        <v>70</v>
      </c>
    </row>
    <row r="43" ht="12" spans="1:4">
      <c r="A43" s="109"/>
      <c r="C43" s="15" t="s">
        <v>71</v>
      </c>
      <c r="D43"/>
    </row>
    <row r="44" ht="12" spans="1:4">
      <c r="A44" s="109"/>
      <c r="C44" s="15" t="s">
        <v>70</v>
      </c>
      <c r="D44"/>
    </row>
    <row r="45" ht="12" spans="1:4">
      <c r="A45" s="109"/>
      <c r="C45" s="15" t="s">
        <v>71</v>
      </c>
      <c r="D45"/>
    </row>
    <row r="46" ht="12" spans="1:4">
      <c r="A46" s="109" t="s">
        <v>72</v>
      </c>
      <c r="B46" s="19" t="s">
        <v>69</v>
      </c>
      <c r="C46" s="15" t="s">
        <v>73</v>
      </c>
      <c r="D46"/>
    </row>
    <row r="47" ht="12" spans="1:3">
      <c r="A47" s="109"/>
      <c r="C47" s="15" t="s">
        <v>74</v>
      </c>
    </row>
    <row r="48" ht="12" spans="1:3">
      <c r="A48" s="109"/>
      <c r="C48" s="15" t="s">
        <v>73</v>
      </c>
    </row>
    <row r="49" ht="12" spans="1:3">
      <c r="A49" s="109"/>
      <c r="C49" s="15" t="s">
        <v>74</v>
      </c>
    </row>
    <row r="50" ht="12" spans="1:3">
      <c r="A50" s="109"/>
      <c r="B50" s="19" t="s">
        <v>75</v>
      </c>
      <c r="C50" s="15" t="s">
        <v>76</v>
      </c>
    </row>
    <row r="51" ht="12" spans="1:3">
      <c r="A51" s="109"/>
      <c r="C51" s="15" t="s">
        <v>77</v>
      </c>
    </row>
    <row r="52" ht="12" spans="1:3">
      <c r="A52" s="109"/>
      <c r="C52" s="15" t="s">
        <v>78</v>
      </c>
    </row>
    <row r="53" ht="12" spans="1:3">
      <c r="A53" s="109"/>
      <c r="C53" s="15" t="s">
        <v>79</v>
      </c>
    </row>
    <row r="54" ht="12" spans="1:3">
      <c r="A54" s="109"/>
      <c r="C54" s="15" t="s">
        <v>80</v>
      </c>
    </row>
    <row r="55" ht="12" spans="1:3">
      <c r="A55" s="296" t="s">
        <v>81</v>
      </c>
      <c r="B55" s="19" t="s">
        <v>82</v>
      </c>
      <c r="C55" s="15" t="s">
        <v>7</v>
      </c>
    </row>
    <row r="56" ht="12" spans="1:3">
      <c r="A56" s="109"/>
      <c r="C56" s="15" t="s">
        <v>15</v>
      </c>
    </row>
    <row r="57" ht="12" spans="1:3">
      <c r="A57" s="109"/>
      <c r="C57" s="15" t="s">
        <v>27</v>
      </c>
    </row>
    <row r="58" ht="12" spans="1:3">
      <c r="A58" s="109"/>
      <c r="C58" s="15" t="s">
        <v>30</v>
      </c>
    </row>
    <row r="59" ht="12" spans="1:3">
      <c r="A59" s="109"/>
      <c r="C59" s="15" t="s">
        <v>33</v>
      </c>
    </row>
    <row r="60" ht="12" spans="1:3">
      <c r="A60" s="109"/>
      <c r="C60" s="15" t="s">
        <v>36</v>
      </c>
    </row>
    <row r="61" ht="12" spans="1:3">
      <c r="A61" s="296" t="s">
        <v>83</v>
      </c>
      <c r="B61" s="19" t="s">
        <v>84</v>
      </c>
      <c r="C61" s="15" t="s">
        <v>85</v>
      </c>
    </row>
    <row r="62" ht="12" spans="1:4">
      <c r="A62" s="109"/>
      <c r="C62" s="15" t="s">
        <v>86</v>
      </c>
      <c r="D62" s="13" t="s">
        <v>87</v>
      </c>
    </row>
    <row r="63" ht="12" spans="1:5">
      <c r="A63" s="109"/>
      <c r="C63" s="15" t="s">
        <v>88</v>
      </c>
      <c r="D63" s="13" t="s">
        <v>89</v>
      </c>
      <c r="E63" s="15" t="s">
        <v>90</v>
      </c>
    </row>
    <row r="64" ht="12" spans="1:5">
      <c r="A64" s="109"/>
      <c r="C64" s="15" t="s">
        <v>91</v>
      </c>
      <c r="D64" s="13" t="s">
        <v>92</v>
      </c>
      <c r="E64" s="15" t="s">
        <v>90</v>
      </c>
    </row>
    <row r="65" ht="12" spans="1:5">
      <c r="A65" s="109"/>
      <c r="C65" s="15" t="s">
        <v>93</v>
      </c>
      <c r="D65" s="13" t="s">
        <v>94</v>
      </c>
      <c r="E65" s="15" t="s">
        <v>90</v>
      </c>
    </row>
    <row r="66" ht="12" spans="1:5">
      <c r="A66" s="109"/>
      <c r="C66" s="15" t="s">
        <v>93</v>
      </c>
      <c r="D66" s="13" t="s">
        <v>95</v>
      </c>
      <c r="E66" s="15" t="s">
        <v>90</v>
      </c>
    </row>
    <row r="67" ht="12" spans="1:3">
      <c r="A67" s="468"/>
      <c r="B67" s="467" t="s">
        <v>96</v>
      </c>
      <c r="C67" s="13" t="s">
        <v>97</v>
      </c>
    </row>
    <row r="68" ht="12" spans="1:5">
      <c r="A68" s="109"/>
      <c r="C68" s="13" t="s">
        <v>98</v>
      </c>
      <c r="D68" s="13" t="s">
        <v>87</v>
      </c>
      <c r="E68" s="15" t="s">
        <v>99</v>
      </c>
    </row>
    <row r="69" ht="12" spans="1:4">
      <c r="A69" s="109"/>
      <c r="C69" s="15" t="s">
        <v>7</v>
      </c>
      <c r="D69" s="13" t="s">
        <v>89</v>
      </c>
    </row>
    <row r="70" ht="12" spans="1:4">
      <c r="A70" s="109"/>
      <c r="C70" s="15" t="s">
        <v>100</v>
      </c>
      <c r="D70" s="13" t="s">
        <v>92</v>
      </c>
    </row>
    <row r="71" ht="12" spans="1:4">
      <c r="A71" s="109"/>
      <c r="C71" s="15" t="s">
        <v>15</v>
      </c>
      <c r="D71" s="13" t="s">
        <v>94</v>
      </c>
    </row>
    <row r="72" ht="12" spans="1:4">
      <c r="A72" s="109"/>
      <c r="C72" s="15" t="s">
        <v>15</v>
      </c>
      <c r="D72" s="13" t="s">
        <v>95</v>
      </c>
    </row>
    <row r="73" ht="12" spans="1:3">
      <c r="A73" s="469" t="s">
        <v>101</v>
      </c>
      <c r="B73" s="467" t="s">
        <v>102</v>
      </c>
      <c r="C73" s="13" t="s">
        <v>97</v>
      </c>
    </row>
    <row r="74" ht="12" spans="1:4">
      <c r="A74" s="109"/>
      <c r="C74" s="13" t="s">
        <v>98</v>
      </c>
      <c r="D74" s="13" t="s">
        <v>87</v>
      </c>
    </row>
    <row r="75" ht="12" spans="1:5">
      <c r="A75" s="109"/>
      <c r="C75" s="15" t="s">
        <v>88</v>
      </c>
      <c r="D75" s="13" t="s">
        <v>89</v>
      </c>
      <c r="E75" s="15" t="s">
        <v>90</v>
      </c>
    </row>
    <row r="76" ht="12" spans="1:5">
      <c r="A76" s="109"/>
      <c r="C76" s="15" t="s">
        <v>91</v>
      </c>
      <c r="D76" s="13" t="s">
        <v>92</v>
      </c>
      <c r="E76" s="15" t="s">
        <v>90</v>
      </c>
    </row>
    <row r="77" ht="12" spans="1:5">
      <c r="A77" s="109"/>
      <c r="C77" s="15" t="s">
        <v>93</v>
      </c>
      <c r="D77" s="13" t="s">
        <v>94</v>
      </c>
      <c r="E77" s="15" t="s">
        <v>90</v>
      </c>
    </row>
    <row r="78" ht="12" spans="1:5">
      <c r="A78" s="109"/>
      <c r="C78" s="15" t="s">
        <v>93</v>
      </c>
      <c r="D78" s="13" t="s">
        <v>95</v>
      </c>
      <c r="E78" s="15" t="s">
        <v>90</v>
      </c>
    </row>
    <row r="79" ht="51.75" customHeight="1" spans="1:4">
      <c r="A79" s="469" t="s">
        <v>103</v>
      </c>
      <c r="B79" s="467" t="s">
        <v>104</v>
      </c>
      <c r="C79" s="15" t="s">
        <v>39</v>
      </c>
      <c r="D79" s="16" t="s">
        <v>40</v>
      </c>
    </row>
    <row r="80" ht="12" spans="1:4">
      <c r="A80" s="109"/>
      <c r="C80" s="15" t="s">
        <v>41</v>
      </c>
      <c r="D80" s="13" t="s">
        <v>87</v>
      </c>
    </row>
    <row r="81" ht="12" spans="1:5">
      <c r="A81" s="109"/>
      <c r="C81" s="15" t="s">
        <v>88</v>
      </c>
      <c r="D81" s="13" t="s">
        <v>89</v>
      </c>
      <c r="E81" s="15" t="s">
        <v>90</v>
      </c>
    </row>
    <row r="82" ht="12" spans="1:5">
      <c r="A82" s="109"/>
      <c r="C82" s="15" t="s">
        <v>91</v>
      </c>
      <c r="D82" s="13" t="s">
        <v>92</v>
      </c>
      <c r="E82" s="15" t="s">
        <v>90</v>
      </c>
    </row>
    <row r="83" ht="12" spans="1:5">
      <c r="A83" s="109"/>
      <c r="C83" s="15" t="s">
        <v>93</v>
      </c>
      <c r="D83" s="13" t="s">
        <v>94</v>
      </c>
      <c r="E83" s="15" t="s">
        <v>90</v>
      </c>
    </row>
    <row r="84" ht="12" spans="1:5">
      <c r="A84" s="109"/>
      <c r="C84" s="15" t="s">
        <v>93</v>
      </c>
      <c r="D84" s="13" t="s">
        <v>95</v>
      </c>
      <c r="E84" s="15" t="s">
        <v>90</v>
      </c>
    </row>
    <row r="85" ht="12" spans="1:3">
      <c r="A85" s="296" t="s">
        <v>105</v>
      </c>
      <c r="B85" s="19" t="s">
        <v>106</v>
      </c>
      <c r="C85" s="15" t="s">
        <v>46</v>
      </c>
    </row>
    <row r="86" ht="12" spans="1:3">
      <c r="A86" s="109"/>
      <c r="C86" s="15" t="s">
        <v>49</v>
      </c>
    </row>
    <row r="87" ht="12" spans="1:3">
      <c r="A87" s="109"/>
      <c r="C87" s="15" t="s">
        <v>58</v>
      </c>
    </row>
    <row r="88" ht="12" spans="1:3">
      <c r="A88" s="109"/>
      <c r="C88" s="15" t="s">
        <v>61</v>
      </c>
    </row>
    <row r="89" ht="12" spans="1:3">
      <c r="A89" s="109"/>
      <c r="C89" s="15" t="s">
        <v>64</v>
      </c>
    </row>
    <row r="90" ht="12" spans="1:3">
      <c r="A90" s="109"/>
      <c r="C90" s="15" t="s">
        <v>67</v>
      </c>
    </row>
    <row r="91" ht="12" spans="1:3">
      <c r="A91" s="469" t="s">
        <v>107</v>
      </c>
      <c r="B91" s="467" t="s">
        <v>108</v>
      </c>
      <c r="C91" s="13" t="s">
        <v>97</v>
      </c>
    </row>
    <row r="92" ht="12" spans="1:4">
      <c r="A92" s="109"/>
      <c r="C92" s="13" t="s">
        <v>98</v>
      </c>
      <c r="D92" s="13" t="s">
        <v>87</v>
      </c>
    </row>
    <row r="93" ht="12" spans="1:5">
      <c r="A93" s="109"/>
      <c r="C93" s="15" t="s">
        <v>109</v>
      </c>
      <c r="D93" s="13" t="s">
        <v>89</v>
      </c>
      <c r="E93" s="15" t="s">
        <v>90</v>
      </c>
    </row>
    <row r="94" ht="12" spans="1:5">
      <c r="A94" s="109"/>
      <c r="C94" s="15" t="s">
        <v>110</v>
      </c>
      <c r="D94" s="13" t="s">
        <v>89</v>
      </c>
      <c r="E94" s="15" t="s">
        <v>90</v>
      </c>
    </row>
    <row r="95" ht="12" spans="1:5">
      <c r="A95" s="109"/>
      <c r="C95" s="15" t="s">
        <v>111</v>
      </c>
      <c r="D95" s="13" t="s">
        <v>94</v>
      </c>
      <c r="E95" s="15" t="s">
        <v>90</v>
      </c>
    </row>
    <row r="96" ht="12" spans="1:5">
      <c r="A96" s="109"/>
      <c r="C96" s="15" t="s">
        <v>111</v>
      </c>
      <c r="D96" s="13" t="s">
        <v>95</v>
      </c>
      <c r="E96" s="15" t="s">
        <v>90</v>
      </c>
    </row>
    <row r="97" ht="51.75" customHeight="1" spans="1:4">
      <c r="A97" s="469" t="s">
        <v>112</v>
      </c>
      <c r="B97" s="467" t="s">
        <v>113</v>
      </c>
      <c r="C97" s="15" t="s">
        <v>39</v>
      </c>
      <c r="D97" s="16" t="s">
        <v>40</v>
      </c>
    </row>
    <row r="98" ht="12" spans="1:4">
      <c r="A98" s="109"/>
      <c r="C98" s="15" t="s">
        <v>41</v>
      </c>
      <c r="D98" s="13" t="s">
        <v>87</v>
      </c>
    </row>
    <row r="99" ht="12" spans="1:5">
      <c r="A99" s="109"/>
      <c r="C99" s="15" t="s">
        <v>109</v>
      </c>
      <c r="D99" s="13" t="s">
        <v>89</v>
      </c>
      <c r="E99" s="15" t="s">
        <v>90</v>
      </c>
    </row>
    <row r="100" ht="12" spans="1:5">
      <c r="A100" s="109"/>
      <c r="C100" s="15" t="s">
        <v>110</v>
      </c>
      <c r="D100" s="13" t="s">
        <v>92</v>
      </c>
      <c r="E100" s="15" t="s">
        <v>90</v>
      </c>
    </row>
    <row r="101" ht="12" spans="1:5">
      <c r="A101" s="109"/>
      <c r="C101" s="15" t="s">
        <v>111</v>
      </c>
      <c r="D101" s="13" t="s">
        <v>94</v>
      </c>
      <c r="E101" s="15" t="s">
        <v>90</v>
      </c>
    </row>
    <row r="102" ht="12" spans="1:5">
      <c r="A102" s="109"/>
      <c r="C102" s="15" t="s">
        <v>111</v>
      </c>
      <c r="D102" s="13" t="s">
        <v>95</v>
      </c>
      <c r="E102" s="15" t="s">
        <v>90</v>
      </c>
    </row>
    <row r="103" ht="12" spans="1:3">
      <c r="A103" s="469" t="s">
        <v>114</v>
      </c>
      <c r="B103" s="467" t="s">
        <v>115</v>
      </c>
      <c r="C103" s="15" t="s">
        <v>7</v>
      </c>
    </row>
    <row r="104" ht="12" spans="1:3">
      <c r="A104" s="109"/>
      <c r="C104" s="15" t="s">
        <v>15</v>
      </c>
    </row>
    <row r="105" ht="12" spans="1:3">
      <c r="A105" s="109"/>
      <c r="C105" s="13" t="s">
        <v>116</v>
      </c>
    </row>
    <row r="106" ht="12" spans="1:3">
      <c r="A106" s="109"/>
      <c r="C106" s="15" t="s">
        <v>46</v>
      </c>
    </row>
    <row r="107" ht="12" spans="1:3">
      <c r="A107" s="109"/>
      <c r="C107" s="15" t="s">
        <v>49</v>
      </c>
    </row>
    <row r="108" ht="12" spans="1:3">
      <c r="A108" s="469" t="s">
        <v>117</v>
      </c>
      <c r="B108" s="467" t="s">
        <v>118</v>
      </c>
      <c r="C108" s="15" t="s">
        <v>7</v>
      </c>
    </row>
    <row r="109" ht="12" spans="1:4">
      <c r="A109" s="109"/>
      <c r="C109" s="15" t="s">
        <v>15</v>
      </c>
      <c r="D109" s="13" t="s">
        <v>87</v>
      </c>
    </row>
    <row r="110" ht="12" spans="1:3">
      <c r="A110" s="109"/>
      <c r="C110" s="13" t="s">
        <v>119</v>
      </c>
    </row>
    <row r="111" ht="12" spans="1:4">
      <c r="A111" s="109"/>
      <c r="C111" s="15" t="s">
        <v>46</v>
      </c>
      <c r="D111" s="13" t="s">
        <v>89</v>
      </c>
    </row>
    <row r="112" ht="12" spans="1:4">
      <c r="A112" s="109"/>
      <c r="C112" s="15" t="s">
        <v>49</v>
      </c>
      <c r="D112" s="13" t="s">
        <v>120</v>
      </c>
    </row>
    <row r="113" ht="12" spans="1:3">
      <c r="A113" s="469" t="s">
        <v>121</v>
      </c>
      <c r="B113" s="467" t="s">
        <v>122</v>
      </c>
      <c r="C113" s="13" t="s">
        <v>97</v>
      </c>
    </row>
    <row r="114" ht="12" spans="1:4">
      <c r="A114" s="109"/>
      <c r="C114" s="13" t="s">
        <v>98</v>
      </c>
      <c r="D114" s="13" t="s">
        <v>87</v>
      </c>
    </row>
    <row r="115" ht="12" spans="1:3">
      <c r="A115" s="109"/>
      <c r="C115" s="15" t="s">
        <v>7</v>
      </c>
    </row>
    <row r="116" ht="12" spans="1:4">
      <c r="A116" s="109"/>
      <c r="C116" s="15" t="s">
        <v>15</v>
      </c>
      <c r="D116" s="13" t="s">
        <v>87</v>
      </c>
    </row>
    <row r="117" ht="12" spans="1:3">
      <c r="A117" s="109"/>
      <c r="C117" s="13" t="s">
        <v>119</v>
      </c>
    </row>
    <row r="118" ht="12" spans="1:4">
      <c r="A118" s="109"/>
      <c r="C118" s="15" t="s">
        <v>46</v>
      </c>
      <c r="D118" s="13" t="s">
        <v>89</v>
      </c>
    </row>
    <row r="119" ht="12" spans="1:4">
      <c r="A119" s="109"/>
      <c r="C119" s="15" t="s">
        <v>49</v>
      </c>
      <c r="D119" s="13" t="s">
        <v>120</v>
      </c>
    </row>
    <row r="120" ht="12" spans="1:4">
      <c r="A120" s="469" t="s">
        <v>123</v>
      </c>
      <c r="B120" s="467" t="s">
        <v>124</v>
      </c>
      <c r="C120" s="15" t="s">
        <v>7</v>
      </c>
      <c r="D120" s="25"/>
    </row>
    <row r="121" ht="12" spans="1:3">
      <c r="A121" s="109"/>
      <c r="C121" s="15" t="s">
        <v>15</v>
      </c>
    </row>
    <row r="122" ht="12" spans="1:4">
      <c r="A122" s="109"/>
      <c r="C122" s="19" t="s">
        <v>125</v>
      </c>
      <c r="D122" s="13" t="s">
        <v>126</v>
      </c>
    </row>
    <row r="123" ht="12" spans="1:4">
      <c r="A123" s="109"/>
      <c r="C123" s="19" t="s">
        <v>125</v>
      </c>
      <c r="D123" s="13" t="s">
        <v>127</v>
      </c>
    </row>
    <row r="124" ht="12" spans="1:3">
      <c r="A124" s="109"/>
      <c r="C124" s="19" t="s">
        <v>128</v>
      </c>
    </row>
    <row r="125" ht="12" spans="1:4">
      <c r="A125" s="109"/>
      <c r="C125" s="19" t="s">
        <v>129</v>
      </c>
      <c r="D125" s="13" t="s">
        <v>130</v>
      </c>
    </row>
    <row r="126" ht="12" spans="1:3">
      <c r="A126" s="296" t="s">
        <v>131</v>
      </c>
      <c r="B126" s="19" t="s">
        <v>132</v>
      </c>
      <c r="C126" s="15" t="s">
        <v>70</v>
      </c>
    </row>
    <row r="127" ht="12" spans="1:3">
      <c r="A127" s="109"/>
      <c r="C127" s="15" t="s">
        <v>71</v>
      </c>
    </row>
    <row r="128" ht="12" spans="1:3">
      <c r="A128" s="109"/>
      <c r="C128" s="15" t="s">
        <v>73</v>
      </c>
    </row>
    <row r="129" ht="12" spans="1:3">
      <c r="A129" s="109"/>
      <c r="C129" s="15" t="s">
        <v>74</v>
      </c>
    </row>
    <row r="130" ht="12" spans="1:3">
      <c r="A130" s="296" t="s">
        <v>133</v>
      </c>
      <c r="B130" s="19" t="s">
        <v>134</v>
      </c>
      <c r="C130" s="15" t="s">
        <v>70</v>
      </c>
    </row>
    <row r="131" ht="12" spans="1:3">
      <c r="A131" s="109"/>
      <c r="C131" s="15" t="s">
        <v>71</v>
      </c>
    </row>
    <row r="132" ht="12" spans="1:3">
      <c r="A132" s="109"/>
      <c r="C132" s="15" t="s">
        <v>73</v>
      </c>
    </row>
    <row r="133" ht="12" spans="1:3">
      <c r="A133" s="109"/>
      <c r="C133" s="15" t="s">
        <v>74</v>
      </c>
    </row>
    <row r="134" ht="12" spans="1:3">
      <c r="A134" s="109"/>
      <c r="C134" s="15" t="s">
        <v>76</v>
      </c>
    </row>
    <row r="135" ht="12" spans="1:3">
      <c r="A135" s="109"/>
      <c r="C135" s="15" t="s">
        <v>77</v>
      </c>
    </row>
    <row r="136" ht="12" spans="1:3">
      <c r="A136" s="109"/>
      <c r="C136" s="15" t="s">
        <v>78</v>
      </c>
    </row>
    <row r="137" ht="12" spans="1:3">
      <c r="A137" s="109"/>
      <c r="C137" s="15" t="s">
        <v>79</v>
      </c>
    </row>
    <row r="138" ht="12" spans="1:3">
      <c r="A138" s="109"/>
      <c r="C138" s="15" t="s">
        <v>80</v>
      </c>
    </row>
    <row r="139" ht="12" spans="1:4">
      <c r="A139" s="469" t="s">
        <v>135</v>
      </c>
      <c r="B139" s="467" t="s">
        <v>136</v>
      </c>
      <c r="C139" s="15" t="s">
        <v>70</v>
      </c>
      <c r="D139" s="29"/>
    </row>
    <row r="140" ht="12" spans="1:4">
      <c r="A140" s="109"/>
      <c r="C140" s="15" t="s">
        <v>71</v>
      </c>
      <c r="D140" s="29"/>
    </row>
    <row r="141" ht="12" spans="1:4">
      <c r="A141" s="109"/>
      <c r="C141" s="29" t="s">
        <v>137</v>
      </c>
      <c r="D141" s="29"/>
    </row>
    <row r="142" ht="12" spans="1:4">
      <c r="A142" s="109"/>
      <c r="C142" s="29" t="s">
        <v>138</v>
      </c>
      <c r="D142" s="29"/>
    </row>
    <row r="143" ht="12" spans="1:4">
      <c r="A143" s="109"/>
      <c r="C143" s="29" t="s">
        <v>139</v>
      </c>
      <c r="D143" s="29" t="s">
        <v>140</v>
      </c>
    </row>
    <row r="144" ht="12" spans="1:4">
      <c r="A144" s="109"/>
      <c r="C144" s="15" t="s">
        <v>70</v>
      </c>
      <c r="D144" s="29"/>
    </row>
    <row r="145" ht="12" spans="1:4">
      <c r="A145" s="109"/>
      <c r="C145" s="15" t="s">
        <v>71</v>
      </c>
      <c r="D145" s="29"/>
    </row>
    <row r="146" ht="12" spans="1:4">
      <c r="A146" s="109"/>
      <c r="C146" s="29" t="s">
        <v>141</v>
      </c>
      <c r="D146" s="29" t="s">
        <v>140</v>
      </c>
    </row>
    <row r="147" ht="12" spans="1:4">
      <c r="A147" s="109"/>
      <c r="C147" s="29" t="s">
        <v>139</v>
      </c>
      <c r="D147" s="29"/>
    </row>
    <row r="148" ht="12" spans="1:4">
      <c r="A148" s="109"/>
      <c r="C148" s="29" t="s">
        <v>142</v>
      </c>
      <c r="D148" s="29"/>
    </row>
    <row r="149" ht="19.5" customHeight="1" spans="1:4">
      <c r="A149" s="469" t="s">
        <v>143</v>
      </c>
      <c r="B149" s="460" t="s">
        <v>144</v>
      </c>
      <c r="C149" s="15" t="s">
        <v>76</v>
      </c>
      <c r="D149" s="29"/>
    </row>
    <row r="150" ht="12" spans="1:4">
      <c r="A150" s="109"/>
      <c r="C150" s="15" t="s">
        <v>80</v>
      </c>
      <c r="D150" s="29"/>
    </row>
    <row r="151" ht="12" spans="1:4">
      <c r="A151" s="109"/>
      <c r="C151" s="29" t="s">
        <v>137</v>
      </c>
      <c r="D151" s="29"/>
    </row>
    <row r="152" ht="12" spans="1:4">
      <c r="A152" s="109"/>
      <c r="C152" s="29" t="s">
        <v>145</v>
      </c>
      <c r="D152" s="29"/>
    </row>
    <row r="153" ht="12" spans="1:4">
      <c r="A153" s="109"/>
      <c r="C153" s="29" t="s">
        <v>139</v>
      </c>
      <c r="D153" s="29" t="s">
        <v>140</v>
      </c>
    </row>
    <row r="154" ht="12" spans="1:4">
      <c r="A154" s="109"/>
      <c r="C154" s="15" t="s">
        <v>76</v>
      </c>
      <c r="D154" s="29"/>
    </row>
    <row r="155" ht="12" spans="1:4">
      <c r="A155" s="109"/>
      <c r="C155" s="15" t="s">
        <v>80</v>
      </c>
      <c r="D155" s="29"/>
    </row>
    <row r="156" ht="12" spans="1:4">
      <c r="A156" s="109"/>
      <c r="C156" s="29" t="s">
        <v>141</v>
      </c>
      <c r="D156" s="29" t="s">
        <v>140</v>
      </c>
    </row>
    <row r="157" ht="12" spans="1:4">
      <c r="A157" s="109"/>
      <c r="C157" s="29" t="s">
        <v>139</v>
      </c>
      <c r="D157" s="29"/>
    </row>
    <row r="158" ht="12" spans="1:4">
      <c r="A158" s="109"/>
      <c r="C158" s="15" t="s">
        <v>76</v>
      </c>
      <c r="D158" s="29"/>
    </row>
    <row r="159" ht="12" spans="1:4">
      <c r="A159" s="109"/>
      <c r="C159" s="15" t="s">
        <v>80</v>
      </c>
      <c r="D159" s="29"/>
    </row>
    <row r="160" ht="12" spans="1:4">
      <c r="A160" s="109"/>
      <c r="C160" s="29" t="s">
        <v>141</v>
      </c>
      <c r="D160" s="29"/>
    </row>
    <row r="161" ht="12" spans="1:2">
      <c r="A161" s="109"/>
      <c r="B161" s="19"/>
    </row>
    <row r="162" ht="12" spans="1:2">
      <c r="A162" s="109"/>
      <c r="B162" s="19"/>
    </row>
    <row r="163" ht="12" spans="1:2">
      <c r="A163" s="109"/>
      <c r="B163" s="19"/>
    </row>
    <row r="164" ht="12" spans="1:2">
      <c r="A164" s="109"/>
      <c r="B164" s="19"/>
    </row>
    <row r="165" ht="12" spans="1:2">
      <c r="A165" s="109"/>
      <c r="B165" s="19"/>
    </row>
    <row r="166" ht="12" spans="1:2">
      <c r="A166" s="109"/>
      <c r="B166" s="19"/>
    </row>
    <row r="167" ht="12" spans="1:2">
      <c r="A167" s="109"/>
      <c r="B167" s="19"/>
    </row>
    <row r="168" ht="12" spans="1:2">
      <c r="A168" s="109"/>
      <c r="B168" s="19"/>
    </row>
    <row r="169" ht="12" spans="1:2">
      <c r="A169" s="109"/>
      <c r="B169" s="19"/>
    </row>
    <row r="170" ht="12" spans="1:2">
      <c r="A170" s="109"/>
      <c r="B170" s="19"/>
    </row>
    <row r="171" ht="12" spans="1:2">
      <c r="A171" s="109"/>
      <c r="B171" s="19"/>
    </row>
    <row r="172" ht="12" spans="1:2">
      <c r="A172" s="109"/>
      <c r="B172" s="19"/>
    </row>
    <row r="173" ht="12" spans="1:2">
      <c r="A173" s="109"/>
      <c r="B173" s="19"/>
    </row>
    <row r="174" ht="12" spans="1:2">
      <c r="A174" s="109"/>
      <c r="B174" s="19"/>
    </row>
    <row r="175" ht="12" spans="1:2">
      <c r="A175" s="109"/>
      <c r="B175" s="19"/>
    </row>
    <row r="176" ht="12" spans="1:2">
      <c r="A176" s="109"/>
      <c r="B176" s="19"/>
    </row>
    <row r="177" ht="12" spans="1:2">
      <c r="A177" s="109"/>
      <c r="B177" s="19"/>
    </row>
    <row r="178" ht="12" spans="1:2">
      <c r="A178" s="109"/>
      <c r="B178" s="19"/>
    </row>
    <row r="179" ht="12" spans="1:2">
      <c r="A179" s="109"/>
      <c r="B179" s="19"/>
    </row>
    <row r="180" ht="12" spans="1:2">
      <c r="A180" s="109"/>
      <c r="B180" s="19"/>
    </row>
    <row r="181" ht="12" spans="1:2">
      <c r="A181" s="109"/>
      <c r="B181" s="19"/>
    </row>
    <row r="182" ht="12" spans="1:2">
      <c r="A182" s="109"/>
      <c r="B182" s="19"/>
    </row>
    <row r="183" ht="12" spans="1:2">
      <c r="A183" s="109"/>
      <c r="B183" s="19"/>
    </row>
    <row r="184" ht="12" spans="1:2">
      <c r="A184" s="109"/>
      <c r="B184" s="19"/>
    </row>
    <row r="185" ht="12" spans="1:2">
      <c r="A185" s="109"/>
      <c r="B185" s="19"/>
    </row>
    <row r="186" ht="12" spans="1:2">
      <c r="A186" s="109"/>
      <c r="B186" s="19"/>
    </row>
    <row r="187" ht="12" spans="1:2">
      <c r="A187" s="109"/>
      <c r="B187" s="19"/>
    </row>
    <row r="188" ht="12" spans="1:2">
      <c r="A188" s="109"/>
      <c r="B188" s="19"/>
    </row>
    <row r="189" ht="12" spans="1:2">
      <c r="A189" s="109"/>
      <c r="B189" s="19"/>
    </row>
    <row r="190" ht="12" spans="1:2">
      <c r="A190" s="109"/>
      <c r="B190" s="19"/>
    </row>
    <row r="191" ht="12" spans="1:2">
      <c r="A191" s="109"/>
      <c r="B191" s="19"/>
    </row>
    <row r="192" ht="12" spans="1:2">
      <c r="A192" s="109"/>
      <c r="B192" s="19"/>
    </row>
    <row r="193" ht="12" spans="1:2">
      <c r="A193" s="109"/>
      <c r="B193" s="19"/>
    </row>
    <row r="194" ht="12" spans="1:2">
      <c r="A194" s="109"/>
      <c r="B194" s="19"/>
    </row>
    <row r="195" ht="12" spans="1:2">
      <c r="A195" s="109"/>
      <c r="B195" s="19"/>
    </row>
    <row r="196" ht="12" spans="1:2">
      <c r="A196" s="109"/>
      <c r="B196" s="19"/>
    </row>
    <row r="197" ht="12" spans="1:2">
      <c r="A197" s="109"/>
      <c r="B197" s="19"/>
    </row>
    <row r="198" ht="12" spans="1:2">
      <c r="A198" s="109"/>
      <c r="B198" s="19"/>
    </row>
    <row r="199" ht="12" spans="1:2">
      <c r="A199" s="109"/>
      <c r="B199" s="19"/>
    </row>
    <row r="200" ht="12" spans="1:2">
      <c r="A200" s="109"/>
      <c r="B200" s="19"/>
    </row>
    <row r="201" ht="12" spans="1:2">
      <c r="A201" s="109"/>
      <c r="B201" s="19"/>
    </row>
    <row r="202" ht="12" spans="1:2">
      <c r="A202" s="109"/>
      <c r="B202" s="19"/>
    </row>
    <row r="203" ht="12" spans="1:2">
      <c r="A203" s="109"/>
      <c r="B203" s="19"/>
    </row>
    <row r="204" ht="12" spans="1:2">
      <c r="A204" s="109"/>
      <c r="B204" s="19"/>
    </row>
    <row r="205" ht="12" spans="1:2">
      <c r="A205" s="109"/>
      <c r="B205" s="19"/>
    </row>
    <row r="206" ht="12" spans="1:2">
      <c r="A206" s="109"/>
      <c r="B206" s="19"/>
    </row>
    <row r="207" ht="12" spans="1:2">
      <c r="A207" s="109"/>
      <c r="B207" s="19"/>
    </row>
    <row r="208" ht="12" spans="1:2">
      <c r="A208" s="109"/>
      <c r="B208" s="19"/>
    </row>
    <row r="209" ht="12" spans="1:2">
      <c r="A209" s="109"/>
      <c r="B209" s="19"/>
    </row>
    <row r="210" ht="12" spans="1:2">
      <c r="A210" s="109"/>
      <c r="B210" s="19"/>
    </row>
    <row r="211" ht="12" spans="1:2">
      <c r="A211" s="109"/>
      <c r="B211" s="19"/>
    </row>
    <row r="212" ht="12" spans="1:2">
      <c r="A212" s="109"/>
      <c r="B212" s="19"/>
    </row>
    <row r="213" ht="12" spans="1:2">
      <c r="A213" s="109"/>
      <c r="B213" s="19"/>
    </row>
    <row r="214" ht="12" spans="1:2">
      <c r="A214" s="109"/>
      <c r="B214" s="19"/>
    </row>
    <row r="215" ht="12" spans="1:2">
      <c r="A215" s="109"/>
      <c r="B215" s="19"/>
    </row>
    <row r="216" ht="12" spans="1:2">
      <c r="A216" s="109"/>
      <c r="B216" s="19"/>
    </row>
    <row r="217" ht="12" spans="1:2">
      <c r="A217" s="109"/>
      <c r="B217" s="19"/>
    </row>
    <row r="218" ht="12" spans="1:2">
      <c r="A218" s="109"/>
      <c r="B218" s="19"/>
    </row>
    <row r="219" ht="12" spans="1:2">
      <c r="A219" s="109"/>
      <c r="B219" s="19"/>
    </row>
    <row r="220" ht="12" spans="1:2">
      <c r="A220" s="109"/>
      <c r="B220" s="19"/>
    </row>
    <row r="221" ht="12" spans="1:2">
      <c r="A221" s="109"/>
      <c r="B221" s="19"/>
    </row>
    <row r="222" ht="12" spans="1:2">
      <c r="A222" s="109"/>
      <c r="B222" s="19"/>
    </row>
  </sheetData>
  <autoFilter xmlns:etc="http://www.wps.cn/officeDocument/2017/etCustomData" ref="A1:E160" etc:filterBottomFollowUsedRange="0">
    <extLst/>
  </autoFilter>
  <mergeCells count="57">
    <mergeCell ref="A2:A6"/>
    <mergeCell ref="A7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54"/>
    <mergeCell ref="A55:A60"/>
    <mergeCell ref="A61:A66"/>
    <mergeCell ref="A67:A72"/>
    <mergeCell ref="A73:A78"/>
    <mergeCell ref="A79:A84"/>
    <mergeCell ref="A85:A90"/>
    <mergeCell ref="A91:A96"/>
    <mergeCell ref="A97:A102"/>
    <mergeCell ref="A103:A107"/>
    <mergeCell ref="A108:A112"/>
    <mergeCell ref="A113:A119"/>
    <mergeCell ref="A120:A125"/>
    <mergeCell ref="A126:A129"/>
    <mergeCell ref="A130:A138"/>
    <mergeCell ref="A139:A148"/>
    <mergeCell ref="A149:A160"/>
    <mergeCell ref="B2:B6"/>
    <mergeCell ref="B7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4"/>
    <mergeCell ref="B55:B60"/>
    <mergeCell ref="B61:B66"/>
    <mergeCell ref="B67:B72"/>
    <mergeCell ref="B73:B78"/>
    <mergeCell ref="B79:B84"/>
    <mergeCell ref="B85:B90"/>
    <mergeCell ref="B91:B96"/>
    <mergeCell ref="B97:B102"/>
    <mergeCell ref="B103:B107"/>
    <mergeCell ref="B108:B112"/>
    <mergeCell ref="B113:B119"/>
    <mergeCell ref="B120:B125"/>
    <mergeCell ref="B126:B129"/>
    <mergeCell ref="B130:B138"/>
    <mergeCell ref="B139:B148"/>
    <mergeCell ref="B149:B160"/>
    <mergeCell ref="D22:D25"/>
    <mergeCell ref="D30:D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机构组合关系"/>
  <dimension ref="A1:C8"/>
  <sheetViews>
    <sheetView workbookViewId="0">
      <selection activeCell="A1" sqref="A1"/>
    </sheetView>
  </sheetViews>
  <sheetFormatPr defaultColWidth="14" defaultRowHeight="18" customHeight="1" outlineLevelRow="7" outlineLevelCol="2"/>
  <cols>
    <col min="1" max="1" width="20.712962962963" customWidth="1"/>
    <col min="2" max="2" width="25.712962962963" customWidth="1"/>
    <col min="3" max="3" width="37.712962962963" customWidth="1"/>
  </cols>
  <sheetData>
    <row r="1" ht="24.75" customHeight="1" spans="1:3">
      <c r="A1" s="463" t="s">
        <v>146</v>
      </c>
      <c r="B1" s="463" t="s">
        <v>147</v>
      </c>
      <c r="C1" s="108" t="s">
        <v>3</v>
      </c>
    </row>
    <row r="2" ht="39" customHeight="1" spans="1:3">
      <c r="A2" s="13" t="s">
        <v>148</v>
      </c>
      <c r="B2" s="109" t="s">
        <v>149</v>
      </c>
      <c r="C2" s="19" t="s">
        <v>150</v>
      </c>
    </row>
    <row r="3" ht="39" customHeight="1" spans="1:3">
      <c r="A3" s="13"/>
      <c r="B3" s="109" t="s">
        <v>151</v>
      </c>
      <c r="C3" s="19" t="s">
        <v>150</v>
      </c>
    </row>
    <row r="4" ht="12" spans="1:3">
      <c r="A4" s="13"/>
      <c r="B4" s="109" t="s">
        <v>152</v>
      </c>
      <c r="C4" s="13" t="s">
        <v>21</v>
      </c>
    </row>
    <row r="5" ht="12" spans="1:3">
      <c r="A5" s="13"/>
      <c r="B5" s="109" t="s">
        <v>153</v>
      </c>
      <c r="C5" s="13" t="s">
        <v>21</v>
      </c>
    </row>
    <row r="6" ht="12" spans="1:3">
      <c r="A6" s="13" t="s">
        <v>154</v>
      </c>
      <c r="B6" s="109" t="s">
        <v>155</v>
      </c>
      <c r="C6" s="13"/>
    </row>
    <row r="7" ht="12" spans="1:3">
      <c r="A7" s="13"/>
      <c r="B7" s="109" t="s">
        <v>156</v>
      </c>
      <c r="C7" s="13"/>
    </row>
    <row r="8" ht="12" spans="1:3">
      <c r="A8" s="13" t="s">
        <v>157</v>
      </c>
      <c r="B8" s="109" t="s">
        <v>158</v>
      </c>
      <c r="C8" s="13"/>
    </row>
  </sheetData>
  <mergeCells count="2">
    <mergeCell ref="A2:A5"/>
    <mergeCell ref="A6:A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风控点及对应场景"/>
  <dimension ref="A1:H62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8" customHeight="1" outlineLevelCol="7"/>
  <cols>
    <col min="1" max="1" width="22.6666666666667" style="13" customWidth="1"/>
    <col min="2" max="2" width="19.8333333333333" style="112" customWidth="1"/>
    <col min="3" max="3" width="52.8981481481481" style="13" customWidth="1"/>
    <col min="4" max="5" width="28.6018518518519" style="13" customWidth="1"/>
    <col min="6" max="6" width="28.6018518518519" style="110" customWidth="1"/>
    <col min="8" max="8" width="31.5740740740741" customWidth="1"/>
  </cols>
  <sheetData>
    <row r="1" s="444" customFormat="1" ht="48" customHeight="1" spans="1:6">
      <c r="A1" s="445" t="s">
        <v>159</v>
      </c>
      <c r="B1" s="23" t="s">
        <v>1</v>
      </c>
      <c r="C1" s="445" t="s">
        <v>2</v>
      </c>
      <c r="D1" s="445" t="s">
        <v>3</v>
      </c>
      <c r="E1" s="445" t="s">
        <v>4</v>
      </c>
      <c r="F1" s="446" t="s">
        <v>160</v>
      </c>
    </row>
    <row r="2" ht="12" spans="1:8">
      <c r="A2" s="29" t="s">
        <v>161</v>
      </c>
      <c r="B2" s="16" t="s">
        <v>6</v>
      </c>
      <c r="C2" s="447" t="s">
        <v>7</v>
      </c>
      <c r="D2" s="16" t="s">
        <v>8</v>
      </c>
      <c r="E2" s="15" t="s">
        <v>9</v>
      </c>
      <c r="F2" s="344">
        <v>1</v>
      </c>
      <c r="G2" s="384"/>
      <c r="H2" s="384"/>
    </row>
    <row r="3" ht="12" spans="1:8">
      <c r="A3" s="29"/>
      <c r="B3" s="13"/>
      <c r="C3" s="137" t="s">
        <v>7</v>
      </c>
      <c r="D3" s="15" t="s">
        <v>10</v>
      </c>
      <c r="E3" s="15" t="s">
        <v>11</v>
      </c>
      <c r="F3" s="448"/>
      <c r="G3" s="384"/>
      <c r="H3" s="384"/>
    </row>
    <row r="4" ht="12" spans="2:8">
      <c r="B4" s="13"/>
      <c r="C4" s="137" t="s">
        <v>12</v>
      </c>
      <c r="D4" s="15"/>
      <c r="E4" s="15" t="s">
        <v>11</v>
      </c>
      <c r="F4" s="448"/>
      <c r="G4" s="384"/>
      <c r="H4" s="384"/>
    </row>
    <row r="5" ht="12" spans="2:8">
      <c r="B5" s="13"/>
      <c r="C5" s="137" t="s">
        <v>13</v>
      </c>
      <c r="D5" s="15"/>
      <c r="E5" s="15" t="s">
        <v>14</v>
      </c>
      <c r="F5" s="448"/>
      <c r="G5" s="384"/>
      <c r="H5" s="384"/>
    </row>
    <row r="6" ht="12" spans="2:8">
      <c r="B6" s="13"/>
      <c r="C6" s="137" t="s">
        <v>15</v>
      </c>
      <c r="D6" s="15"/>
      <c r="E6" s="15" t="s">
        <v>16</v>
      </c>
      <c r="F6" s="144"/>
      <c r="G6" s="384"/>
      <c r="H6" s="384"/>
    </row>
    <row r="7" ht="12" spans="1:8">
      <c r="A7" s="29"/>
      <c r="B7" s="16" t="s">
        <v>162</v>
      </c>
      <c r="C7" s="447" t="s">
        <v>7</v>
      </c>
      <c r="D7" s="15" t="s">
        <v>18</v>
      </c>
      <c r="E7" s="15" t="s">
        <v>19</v>
      </c>
      <c r="F7" s="344">
        <v>2</v>
      </c>
      <c r="G7" s="384"/>
      <c r="H7" s="384"/>
    </row>
    <row r="8" ht="12" spans="1:8">
      <c r="A8" s="29"/>
      <c r="B8" s="13"/>
      <c r="C8" s="137" t="s">
        <v>7</v>
      </c>
      <c r="D8" s="15" t="s">
        <v>18</v>
      </c>
      <c r="E8" s="15" t="s">
        <v>20</v>
      </c>
      <c r="F8" s="449"/>
      <c r="G8" s="384"/>
      <c r="H8" s="384"/>
    </row>
    <row r="9" ht="12" spans="1:8">
      <c r="A9" s="29"/>
      <c r="B9" s="13"/>
      <c r="C9" s="137" t="s">
        <v>12</v>
      </c>
      <c r="D9" s="15" t="s">
        <v>18</v>
      </c>
      <c r="E9" s="15" t="s">
        <v>20</v>
      </c>
      <c r="F9" s="449"/>
      <c r="G9" s="384"/>
      <c r="H9" s="384"/>
    </row>
    <row r="10" ht="12" spans="1:8">
      <c r="A10" s="29"/>
      <c r="B10" s="13"/>
      <c r="C10" s="137" t="s">
        <v>7</v>
      </c>
      <c r="D10" s="15" t="s">
        <v>21</v>
      </c>
      <c r="E10" s="15" t="s">
        <v>22</v>
      </c>
      <c r="F10" s="449"/>
      <c r="G10" s="384"/>
      <c r="H10" s="384"/>
    </row>
    <row r="11" ht="12" spans="1:8">
      <c r="A11" s="29"/>
      <c r="B11" s="13"/>
      <c r="C11" s="137" t="s">
        <v>7</v>
      </c>
      <c r="D11" s="15" t="s">
        <v>21</v>
      </c>
      <c r="E11" s="15" t="s">
        <v>24</v>
      </c>
      <c r="F11" s="449"/>
      <c r="G11" s="384"/>
      <c r="H11" s="384"/>
    </row>
    <row r="12" ht="12" spans="1:8">
      <c r="A12" s="29"/>
      <c r="B12" s="13"/>
      <c r="C12" s="137" t="s">
        <v>13</v>
      </c>
      <c r="D12" s="15"/>
      <c r="E12" s="15" t="s">
        <v>14</v>
      </c>
      <c r="F12" s="449"/>
      <c r="G12" s="384"/>
      <c r="H12" s="384"/>
    </row>
    <row r="13" ht="12" spans="1:8">
      <c r="A13" s="29"/>
      <c r="B13" s="13"/>
      <c r="C13" s="137" t="s">
        <v>15</v>
      </c>
      <c r="D13" s="15"/>
      <c r="E13" s="15" t="s">
        <v>16</v>
      </c>
      <c r="F13" s="447"/>
      <c r="G13" s="384"/>
      <c r="H13" s="384"/>
    </row>
    <row r="14" ht="12" spans="1:8">
      <c r="A14" s="29"/>
      <c r="B14" s="16" t="s">
        <v>26</v>
      </c>
      <c r="C14" s="137" t="s">
        <v>27</v>
      </c>
      <c r="D14" s="15"/>
      <c r="E14" s="15"/>
      <c r="F14" s="450"/>
      <c r="G14" s="384"/>
      <c r="H14" s="384"/>
    </row>
    <row r="15" ht="12" spans="1:8">
      <c r="A15" s="29"/>
      <c r="B15" s="13"/>
      <c r="C15" s="137" t="s">
        <v>28</v>
      </c>
      <c r="D15" s="15"/>
      <c r="E15" s="15"/>
      <c r="F15" s="448"/>
      <c r="G15" s="384"/>
      <c r="H15" s="384"/>
    </row>
    <row r="16" ht="12" spans="1:8">
      <c r="A16" s="29"/>
      <c r="B16" s="13"/>
      <c r="C16" s="137" t="s">
        <v>29</v>
      </c>
      <c r="D16" s="15"/>
      <c r="E16" s="15"/>
      <c r="F16" s="448"/>
      <c r="G16" s="384"/>
      <c r="H16" s="384"/>
    </row>
    <row r="17" ht="12" spans="1:8">
      <c r="A17" s="29"/>
      <c r="B17" s="13"/>
      <c r="C17" s="137" t="s">
        <v>30</v>
      </c>
      <c r="D17" s="15"/>
      <c r="E17" s="15"/>
      <c r="F17" s="144"/>
      <c r="G17" s="384"/>
      <c r="H17" s="384"/>
    </row>
    <row r="18" ht="12" spans="1:8">
      <c r="A18" s="29"/>
      <c r="B18" s="451" t="s">
        <v>38</v>
      </c>
      <c r="C18" s="137" t="s">
        <v>39</v>
      </c>
      <c r="D18" s="296" t="s">
        <v>40</v>
      </c>
      <c r="E18" s="16"/>
      <c r="F18" s="358"/>
      <c r="G18" s="384"/>
      <c r="H18" s="384"/>
    </row>
    <row r="19" ht="12" spans="1:8">
      <c r="A19" s="29"/>
      <c r="B19" s="13"/>
      <c r="C19" s="137" t="s">
        <v>41</v>
      </c>
      <c r="D19" s="452"/>
      <c r="E19" s="15"/>
      <c r="F19" s="15"/>
      <c r="G19" s="384"/>
      <c r="H19" s="384"/>
    </row>
    <row r="20" ht="12" spans="1:8">
      <c r="A20" s="29"/>
      <c r="B20" s="13"/>
      <c r="C20" s="137" t="s">
        <v>42</v>
      </c>
      <c r="D20" s="452"/>
      <c r="E20" s="15"/>
      <c r="F20" s="15"/>
      <c r="G20" s="384"/>
      <c r="H20" s="384"/>
    </row>
    <row r="21" ht="12" spans="1:8">
      <c r="A21" s="29"/>
      <c r="B21" s="13"/>
      <c r="C21" s="137" t="s">
        <v>43</v>
      </c>
      <c r="D21" s="452"/>
      <c r="E21" s="15"/>
      <c r="F21" s="15"/>
      <c r="G21" s="384"/>
      <c r="H21" s="384"/>
    </row>
    <row r="22" ht="12" spans="1:8">
      <c r="A22" s="29"/>
      <c r="B22" s="16" t="s">
        <v>45</v>
      </c>
      <c r="C22" s="137" t="s">
        <v>46</v>
      </c>
      <c r="D22" s="452"/>
      <c r="E22" s="15"/>
      <c r="F22" s="450"/>
      <c r="G22" s="384"/>
      <c r="H22" s="384"/>
    </row>
    <row r="23" ht="12" spans="1:8">
      <c r="A23" s="29"/>
      <c r="B23" s="13"/>
      <c r="C23" s="137" t="s">
        <v>47</v>
      </c>
      <c r="D23" s="452"/>
      <c r="E23" s="15"/>
      <c r="F23" s="448"/>
      <c r="G23" s="384"/>
      <c r="H23" s="384"/>
    </row>
    <row r="24" ht="12" spans="1:8">
      <c r="A24" s="29"/>
      <c r="B24" s="13"/>
      <c r="C24" s="137" t="s">
        <v>48</v>
      </c>
      <c r="D24" s="452"/>
      <c r="E24" s="15"/>
      <c r="F24" s="448"/>
      <c r="G24" s="384"/>
      <c r="H24" s="384"/>
    </row>
    <row r="25" ht="12" spans="1:8">
      <c r="A25" s="29"/>
      <c r="B25" s="13"/>
      <c r="C25" s="137" t="s">
        <v>49</v>
      </c>
      <c r="D25" s="452"/>
      <c r="E25" s="15"/>
      <c r="F25" s="144"/>
      <c r="G25" s="384"/>
      <c r="H25" s="384"/>
    </row>
    <row r="26" ht="12" spans="1:8">
      <c r="A26" s="29"/>
      <c r="B26" s="451" t="s">
        <v>51</v>
      </c>
      <c r="C26" s="137" t="s">
        <v>52</v>
      </c>
      <c r="D26" s="296" t="s">
        <v>40</v>
      </c>
      <c r="E26" s="16"/>
      <c r="F26" s="358"/>
      <c r="G26" s="384"/>
      <c r="H26" s="384"/>
    </row>
    <row r="27" ht="12" spans="1:8">
      <c r="A27" s="29"/>
      <c r="B27" s="13"/>
      <c r="C27" s="137" t="s">
        <v>53</v>
      </c>
      <c r="D27" s="452"/>
      <c r="E27" s="15"/>
      <c r="F27" s="448"/>
      <c r="G27" s="384"/>
      <c r="H27" s="384"/>
    </row>
    <row r="28" ht="12" spans="1:8">
      <c r="A28" s="29"/>
      <c r="B28" s="13"/>
      <c r="C28" s="137" t="s">
        <v>54</v>
      </c>
      <c r="D28" s="452"/>
      <c r="E28" s="15"/>
      <c r="F28" s="448"/>
      <c r="G28" s="384"/>
      <c r="H28" s="384"/>
    </row>
    <row r="29" ht="12" spans="1:8">
      <c r="A29" s="29"/>
      <c r="B29" s="13"/>
      <c r="C29" s="137" t="s">
        <v>55</v>
      </c>
      <c r="D29" s="452"/>
      <c r="E29" s="15"/>
      <c r="F29" s="144"/>
      <c r="G29" s="384"/>
      <c r="H29" s="384"/>
    </row>
    <row r="30" ht="12" spans="1:8">
      <c r="A30" s="29"/>
      <c r="B30" s="16" t="s">
        <v>82</v>
      </c>
      <c r="C30" s="137" t="s">
        <v>7</v>
      </c>
      <c r="D30" s="15"/>
      <c r="E30" s="15"/>
      <c r="F30" s="450"/>
      <c r="G30" s="384"/>
      <c r="H30" s="384"/>
    </row>
    <row r="31" ht="12" spans="1:8">
      <c r="A31" s="29"/>
      <c r="B31" s="13"/>
      <c r="C31" s="137" t="s">
        <v>15</v>
      </c>
      <c r="D31" s="15"/>
      <c r="E31" s="15"/>
      <c r="F31" s="448"/>
      <c r="G31" s="384"/>
      <c r="H31" s="384"/>
    </row>
    <row r="32" ht="12" spans="1:8">
      <c r="A32" s="29"/>
      <c r="B32" s="13"/>
      <c r="C32" s="137" t="s">
        <v>27</v>
      </c>
      <c r="D32" s="15"/>
      <c r="E32" s="15"/>
      <c r="F32" s="448"/>
      <c r="G32" s="384"/>
      <c r="H32" s="384"/>
    </row>
    <row r="33" ht="12" spans="1:8">
      <c r="A33" s="29"/>
      <c r="B33" s="13"/>
      <c r="C33" s="137" t="s">
        <v>30</v>
      </c>
      <c r="D33" s="15"/>
      <c r="E33" s="15"/>
      <c r="F33" s="448"/>
      <c r="G33" s="384"/>
      <c r="H33" s="384"/>
    </row>
    <row r="34" ht="12" spans="1:8">
      <c r="A34" s="29"/>
      <c r="B34" s="13"/>
      <c r="C34" s="137" t="s">
        <v>33</v>
      </c>
      <c r="D34" s="15"/>
      <c r="E34" s="15"/>
      <c r="F34" s="448"/>
      <c r="G34" s="384"/>
      <c r="H34" s="384"/>
    </row>
    <row r="35" ht="12" spans="1:8">
      <c r="A35" s="29"/>
      <c r="B35" s="13"/>
      <c r="C35" s="137" t="s">
        <v>36</v>
      </c>
      <c r="D35" s="15"/>
      <c r="E35" s="15"/>
      <c r="F35" s="144"/>
      <c r="G35" s="384"/>
      <c r="H35" s="384"/>
    </row>
    <row r="36" ht="12" spans="1:8">
      <c r="A36" s="29"/>
      <c r="B36" s="16" t="s">
        <v>84</v>
      </c>
      <c r="C36" s="137" t="s">
        <v>85</v>
      </c>
      <c r="D36" s="452"/>
      <c r="E36" s="15"/>
      <c r="F36" s="453"/>
      <c r="G36" s="384"/>
      <c r="H36" s="384"/>
    </row>
    <row r="37" ht="12" spans="1:8">
      <c r="A37" s="29"/>
      <c r="B37" s="137"/>
      <c r="C37" s="137" t="s">
        <v>86</v>
      </c>
      <c r="D37" s="452" t="s">
        <v>87</v>
      </c>
      <c r="E37" s="15"/>
      <c r="F37" s="137"/>
      <c r="G37" s="384"/>
      <c r="H37" s="384"/>
    </row>
    <row r="38" ht="12" spans="1:8">
      <c r="A38" s="29"/>
      <c r="B38" s="137"/>
      <c r="C38" s="137" t="s">
        <v>88</v>
      </c>
      <c r="D38" s="452" t="s">
        <v>89</v>
      </c>
      <c r="E38" s="15" t="s">
        <v>90</v>
      </c>
      <c r="F38" s="137"/>
      <c r="G38" s="384"/>
      <c r="H38" s="384"/>
    </row>
    <row r="39" ht="12" spans="1:8">
      <c r="A39" s="29"/>
      <c r="B39" s="137"/>
      <c r="C39" s="137" t="s">
        <v>91</v>
      </c>
      <c r="D39" s="452" t="s">
        <v>92</v>
      </c>
      <c r="E39" s="15" t="s">
        <v>90</v>
      </c>
      <c r="F39" s="137"/>
      <c r="G39" s="384"/>
      <c r="H39" s="384"/>
    </row>
    <row r="40" ht="12" spans="1:8">
      <c r="A40" s="29"/>
      <c r="B40" s="137"/>
      <c r="C40" s="137" t="s">
        <v>93</v>
      </c>
      <c r="D40" s="452" t="s">
        <v>94</v>
      </c>
      <c r="E40" s="15" t="s">
        <v>90</v>
      </c>
      <c r="F40" s="137"/>
      <c r="G40" s="384"/>
      <c r="H40" s="384"/>
    </row>
    <row r="41" ht="12" spans="1:8">
      <c r="A41" s="29"/>
      <c r="B41" s="137"/>
      <c r="C41" s="137" t="s">
        <v>93</v>
      </c>
      <c r="D41" s="452" t="s">
        <v>95</v>
      </c>
      <c r="E41" s="15" t="s">
        <v>90</v>
      </c>
      <c r="F41" s="137"/>
      <c r="G41" s="384"/>
      <c r="H41" s="384"/>
    </row>
    <row r="42" ht="12" spans="1:8">
      <c r="A42" s="29"/>
      <c r="B42" s="451" t="s">
        <v>96</v>
      </c>
      <c r="C42" s="137" t="s">
        <v>97</v>
      </c>
      <c r="D42" s="452"/>
      <c r="E42" s="15"/>
      <c r="F42" s="358"/>
      <c r="G42" s="384"/>
      <c r="H42" s="384"/>
    </row>
    <row r="43" ht="12" spans="1:8">
      <c r="A43" s="29"/>
      <c r="B43" s="137"/>
      <c r="C43" s="137" t="s">
        <v>98</v>
      </c>
      <c r="D43" s="452" t="s">
        <v>87</v>
      </c>
      <c r="E43" s="15" t="s">
        <v>99</v>
      </c>
      <c r="F43" s="137"/>
      <c r="G43" s="384"/>
      <c r="H43" s="384"/>
    </row>
    <row r="44" ht="12" spans="1:8">
      <c r="A44" s="29"/>
      <c r="B44" s="137"/>
      <c r="C44" s="137" t="s">
        <v>7</v>
      </c>
      <c r="D44" s="452" t="s">
        <v>89</v>
      </c>
      <c r="E44" s="15"/>
      <c r="F44" s="137"/>
      <c r="G44" s="384"/>
      <c r="H44" s="384"/>
    </row>
    <row r="45" ht="12" spans="1:8">
      <c r="A45" s="29"/>
      <c r="B45" s="137"/>
      <c r="C45" s="137" t="s">
        <v>100</v>
      </c>
      <c r="D45" s="452" t="s">
        <v>92</v>
      </c>
      <c r="E45" s="15"/>
      <c r="F45" s="137"/>
      <c r="G45" s="384"/>
      <c r="H45" s="384"/>
    </row>
    <row r="46" ht="12" spans="1:8">
      <c r="A46" s="29"/>
      <c r="B46" s="137"/>
      <c r="C46" s="137" t="s">
        <v>15</v>
      </c>
      <c r="D46" s="452" t="s">
        <v>94</v>
      </c>
      <c r="E46" s="15"/>
      <c r="F46" s="137"/>
      <c r="G46" s="384"/>
      <c r="H46" s="384"/>
    </row>
    <row r="47" ht="12" spans="1:8">
      <c r="A47" s="29"/>
      <c r="B47" s="137"/>
      <c r="C47" s="137" t="s">
        <v>15</v>
      </c>
      <c r="D47" s="452" t="s">
        <v>95</v>
      </c>
      <c r="E47" s="15"/>
      <c r="F47" s="137"/>
      <c r="G47" s="384"/>
      <c r="H47" s="384"/>
    </row>
    <row r="48" ht="12" spans="1:8">
      <c r="A48" s="29"/>
      <c r="B48" s="451" t="s">
        <v>102</v>
      </c>
      <c r="C48" s="137" t="s">
        <v>97</v>
      </c>
      <c r="D48" s="452"/>
      <c r="E48" s="15"/>
      <c r="F48" s="358"/>
      <c r="G48" s="384"/>
      <c r="H48" s="384"/>
    </row>
    <row r="49" ht="12" spans="1:8">
      <c r="A49" s="29"/>
      <c r="B49" s="137"/>
      <c r="C49" s="137" t="s">
        <v>98</v>
      </c>
      <c r="D49" s="452" t="s">
        <v>87</v>
      </c>
      <c r="E49" s="15"/>
      <c r="F49" s="137"/>
      <c r="G49" s="384"/>
      <c r="H49" s="384"/>
    </row>
    <row r="50" ht="12" spans="1:8">
      <c r="A50" s="29"/>
      <c r="B50" s="137"/>
      <c r="C50" s="137" t="s">
        <v>88</v>
      </c>
      <c r="D50" s="452" t="s">
        <v>89</v>
      </c>
      <c r="E50" s="15" t="s">
        <v>90</v>
      </c>
      <c r="F50" s="137"/>
      <c r="G50" s="384"/>
      <c r="H50" s="384"/>
    </row>
    <row r="51" ht="12" spans="1:8">
      <c r="A51" s="29"/>
      <c r="B51" s="137"/>
      <c r="C51" s="137" t="s">
        <v>91</v>
      </c>
      <c r="D51" s="452" t="s">
        <v>92</v>
      </c>
      <c r="E51" s="15" t="s">
        <v>90</v>
      </c>
      <c r="F51" s="137"/>
      <c r="G51" s="384"/>
      <c r="H51" s="384"/>
    </row>
    <row r="52" ht="12" spans="1:8">
      <c r="A52" s="29"/>
      <c r="B52" s="137"/>
      <c r="C52" s="137" t="s">
        <v>93</v>
      </c>
      <c r="D52" s="452" t="s">
        <v>94</v>
      </c>
      <c r="E52" s="15" t="s">
        <v>90</v>
      </c>
      <c r="F52" s="137"/>
      <c r="G52" s="384"/>
      <c r="H52" s="384"/>
    </row>
    <row r="53" ht="12" spans="1:8">
      <c r="A53" s="29"/>
      <c r="B53" s="137"/>
      <c r="C53" s="137" t="s">
        <v>93</v>
      </c>
      <c r="D53" s="452" t="s">
        <v>95</v>
      </c>
      <c r="E53" s="15" t="s">
        <v>90</v>
      </c>
      <c r="F53" s="137"/>
      <c r="G53" s="384"/>
      <c r="H53" s="384"/>
    </row>
    <row r="54" ht="48" spans="1:8">
      <c r="A54" s="29"/>
      <c r="B54" s="451" t="s">
        <v>104</v>
      </c>
      <c r="C54" s="137" t="s">
        <v>39</v>
      </c>
      <c r="D54" s="454" t="s">
        <v>40</v>
      </c>
      <c r="E54" s="15"/>
      <c r="F54" s="358"/>
      <c r="G54" s="384"/>
      <c r="H54" s="384"/>
    </row>
    <row r="55" ht="12" spans="1:8">
      <c r="A55" s="29"/>
      <c r="B55" s="137"/>
      <c r="C55" s="137" t="s">
        <v>41</v>
      </c>
      <c r="D55" s="452" t="s">
        <v>87</v>
      </c>
      <c r="E55" s="15"/>
      <c r="F55" s="137"/>
      <c r="G55" s="384"/>
      <c r="H55" s="384"/>
    </row>
    <row r="56" ht="12" spans="1:8">
      <c r="A56" s="29"/>
      <c r="B56" s="137"/>
      <c r="C56" s="137" t="s">
        <v>88</v>
      </c>
      <c r="D56" s="452" t="s">
        <v>89</v>
      </c>
      <c r="E56" s="15" t="s">
        <v>90</v>
      </c>
      <c r="F56" s="137"/>
      <c r="G56" s="384"/>
      <c r="H56" s="384"/>
    </row>
    <row r="57" ht="12" spans="1:8">
      <c r="A57" s="29"/>
      <c r="B57" s="137"/>
      <c r="C57" s="137" t="s">
        <v>91</v>
      </c>
      <c r="D57" s="452" t="s">
        <v>92</v>
      </c>
      <c r="E57" s="15" t="s">
        <v>90</v>
      </c>
      <c r="F57" s="137"/>
      <c r="G57" s="384"/>
      <c r="H57" s="384"/>
    </row>
    <row r="58" ht="12" spans="1:8">
      <c r="A58" s="29"/>
      <c r="B58" s="137"/>
      <c r="C58" s="137" t="s">
        <v>93</v>
      </c>
      <c r="D58" s="452" t="s">
        <v>94</v>
      </c>
      <c r="E58" s="15" t="s">
        <v>90</v>
      </c>
      <c r="F58" s="137"/>
      <c r="G58" s="384"/>
      <c r="H58" s="384"/>
    </row>
    <row r="59" ht="12" spans="1:8">
      <c r="A59" s="29"/>
      <c r="B59" s="137"/>
      <c r="C59" s="137" t="s">
        <v>93</v>
      </c>
      <c r="D59" s="452" t="s">
        <v>95</v>
      </c>
      <c r="E59" s="15" t="s">
        <v>90</v>
      </c>
      <c r="F59" s="137"/>
      <c r="G59" s="384"/>
      <c r="H59" s="384"/>
    </row>
    <row r="60" ht="12" spans="1:8">
      <c r="A60" s="29"/>
      <c r="B60" s="16" t="s">
        <v>106</v>
      </c>
      <c r="C60" s="137" t="s">
        <v>46</v>
      </c>
      <c r="D60" s="452"/>
      <c r="E60" s="15"/>
      <c r="F60" s="453"/>
      <c r="G60" s="384"/>
      <c r="H60" s="384"/>
    </row>
    <row r="61" ht="12" spans="1:8">
      <c r="A61" s="29"/>
      <c r="B61" s="137"/>
      <c r="C61" s="137" t="s">
        <v>49</v>
      </c>
      <c r="D61" s="452"/>
      <c r="E61" s="15"/>
      <c r="F61" s="137"/>
      <c r="G61" s="384"/>
      <c r="H61" s="384"/>
    </row>
    <row r="62" ht="12" spans="1:8">
      <c r="A62" s="29"/>
      <c r="B62" s="137"/>
      <c r="C62" s="137" t="s">
        <v>58</v>
      </c>
      <c r="D62" s="452"/>
      <c r="E62" s="15"/>
      <c r="F62" s="137"/>
      <c r="G62" s="384"/>
      <c r="H62" s="384"/>
    </row>
    <row r="63" ht="12" spans="1:8">
      <c r="A63" s="29"/>
      <c r="B63" s="137"/>
      <c r="C63" s="137" t="s">
        <v>61</v>
      </c>
      <c r="D63" s="452"/>
      <c r="E63" s="15"/>
      <c r="F63" s="137"/>
      <c r="G63" s="384"/>
      <c r="H63" s="384"/>
    </row>
    <row r="64" ht="12" spans="1:8">
      <c r="A64" s="29"/>
      <c r="B64" s="137"/>
      <c r="C64" s="137" t="s">
        <v>64</v>
      </c>
      <c r="D64" s="452"/>
      <c r="E64" s="15"/>
      <c r="F64" s="137"/>
      <c r="G64" s="384"/>
      <c r="H64" s="384"/>
    </row>
    <row r="65" ht="12" spans="1:8">
      <c r="A65" s="29"/>
      <c r="B65" s="137"/>
      <c r="C65" s="137" t="s">
        <v>67</v>
      </c>
      <c r="D65" s="452"/>
      <c r="E65" s="15"/>
      <c r="F65" s="137"/>
      <c r="G65" s="384"/>
      <c r="H65" s="384"/>
    </row>
    <row r="66" ht="12" spans="1:8">
      <c r="A66" s="29"/>
      <c r="B66" s="451" t="s">
        <v>108</v>
      </c>
      <c r="C66" s="137" t="s">
        <v>97</v>
      </c>
      <c r="D66" s="452"/>
      <c r="E66" s="15"/>
      <c r="F66" s="358"/>
      <c r="G66" s="384"/>
      <c r="H66" s="384"/>
    </row>
    <row r="67" ht="12" spans="1:8">
      <c r="A67" s="29"/>
      <c r="B67" s="15"/>
      <c r="C67" s="137" t="s">
        <v>98</v>
      </c>
      <c r="D67" s="452" t="s">
        <v>87</v>
      </c>
      <c r="E67" s="15"/>
      <c r="F67" s="137"/>
      <c r="G67" s="384"/>
      <c r="H67" s="384"/>
    </row>
    <row r="68" ht="12" spans="1:8">
      <c r="A68" s="29"/>
      <c r="B68" s="15"/>
      <c r="C68" s="137" t="s">
        <v>109</v>
      </c>
      <c r="D68" s="452" t="s">
        <v>89</v>
      </c>
      <c r="E68" s="15" t="s">
        <v>90</v>
      </c>
      <c r="F68" s="137"/>
      <c r="G68" s="384"/>
      <c r="H68" s="384"/>
    </row>
    <row r="69" ht="12" spans="1:8">
      <c r="A69" s="29"/>
      <c r="B69" s="15"/>
      <c r="C69" s="137" t="s">
        <v>110</v>
      </c>
      <c r="D69" s="452" t="s">
        <v>89</v>
      </c>
      <c r="E69" s="15" t="s">
        <v>90</v>
      </c>
      <c r="F69" s="137"/>
      <c r="G69" s="384"/>
      <c r="H69" s="384"/>
    </row>
    <row r="70" ht="12" spans="1:8">
      <c r="A70" s="29"/>
      <c r="B70" s="15"/>
      <c r="C70" s="137" t="s">
        <v>111</v>
      </c>
      <c r="D70" s="452" t="s">
        <v>94</v>
      </c>
      <c r="E70" s="15" t="s">
        <v>90</v>
      </c>
      <c r="F70" s="137"/>
      <c r="G70" s="384"/>
      <c r="H70" s="384"/>
    </row>
    <row r="71" ht="12" spans="1:8">
      <c r="A71" s="29"/>
      <c r="B71" s="15"/>
      <c r="C71" s="137" t="s">
        <v>111</v>
      </c>
      <c r="D71" s="452" t="s">
        <v>95</v>
      </c>
      <c r="E71" s="15" t="s">
        <v>90</v>
      </c>
      <c r="F71" s="137"/>
      <c r="G71" s="384"/>
      <c r="H71" s="384"/>
    </row>
    <row r="72" ht="48" spans="1:8">
      <c r="A72" s="29"/>
      <c r="B72" s="451" t="s">
        <v>113</v>
      </c>
      <c r="C72" s="137" t="s">
        <v>39</v>
      </c>
      <c r="D72" s="454" t="s">
        <v>40</v>
      </c>
      <c r="E72" s="15"/>
      <c r="F72" s="358"/>
      <c r="G72" s="384"/>
      <c r="H72" s="384"/>
    </row>
    <row r="73" ht="12" spans="1:8">
      <c r="A73" s="29"/>
      <c r="B73" s="15"/>
      <c r="C73" s="137" t="s">
        <v>41</v>
      </c>
      <c r="D73" s="452" t="s">
        <v>87</v>
      </c>
      <c r="E73" s="15"/>
      <c r="F73" s="137"/>
      <c r="G73" s="384"/>
      <c r="H73" s="384"/>
    </row>
    <row r="74" ht="12" spans="1:8">
      <c r="A74" s="29"/>
      <c r="B74" s="15"/>
      <c r="C74" s="137" t="s">
        <v>109</v>
      </c>
      <c r="D74" s="452" t="s">
        <v>89</v>
      </c>
      <c r="E74" s="15" t="s">
        <v>90</v>
      </c>
      <c r="F74" s="137"/>
      <c r="G74" s="384"/>
      <c r="H74" s="384"/>
    </row>
    <row r="75" ht="12" spans="1:8">
      <c r="A75" s="29"/>
      <c r="B75" s="15"/>
      <c r="C75" s="137" t="s">
        <v>110</v>
      </c>
      <c r="D75" s="452" t="s">
        <v>92</v>
      </c>
      <c r="E75" s="15" t="s">
        <v>90</v>
      </c>
      <c r="F75" s="137"/>
      <c r="G75" s="384"/>
      <c r="H75" s="384"/>
    </row>
    <row r="76" ht="12" spans="1:8">
      <c r="A76" s="29"/>
      <c r="B76" s="15"/>
      <c r="C76" s="137" t="s">
        <v>111</v>
      </c>
      <c r="D76" s="452" t="s">
        <v>94</v>
      </c>
      <c r="E76" s="15" t="s">
        <v>90</v>
      </c>
      <c r="F76" s="137"/>
      <c r="G76" s="384"/>
      <c r="H76" s="384"/>
    </row>
    <row r="77" ht="12" spans="1:8">
      <c r="A77" s="29"/>
      <c r="B77" s="15"/>
      <c r="C77" s="137" t="s">
        <v>111</v>
      </c>
      <c r="D77" s="452" t="s">
        <v>95</v>
      </c>
      <c r="E77" s="15" t="s">
        <v>90</v>
      </c>
      <c r="F77" s="137"/>
      <c r="G77" s="384"/>
      <c r="H77" s="384"/>
    </row>
    <row r="78" ht="12" spans="1:8">
      <c r="A78" s="29"/>
      <c r="B78" s="451" t="s">
        <v>115</v>
      </c>
      <c r="C78" s="137" t="s">
        <v>7</v>
      </c>
      <c r="D78" s="452"/>
      <c r="E78" s="15"/>
      <c r="F78" s="358"/>
      <c r="G78" s="384"/>
      <c r="H78" s="384"/>
    </row>
    <row r="79" ht="12" spans="1:8">
      <c r="A79" s="29"/>
      <c r="B79" s="15"/>
      <c r="C79" s="137" t="s">
        <v>15</v>
      </c>
      <c r="D79" s="452"/>
      <c r="E79" s="15"/>
      <c r="F79" s="137"/>
      <c r="G79" s="384"/>
      <c r="H79" s="384"/>
    </row>
    <row r="80" ht="12" spans="1:8">
      <c r="A80" s="29"/>
      <c r="B80" s="15"/>
      <c r="C80" s="137" t="s">
        <v>116</v>
      </c>
      <c r="D80" s="452"/>
      <c r="E80" s="15"/>
      <c r="F80" s="137"/>
      <c r="G80" s="384"/>
      <c r="H80" s="384"/>
    </row>
    <row r="81" ht="12" spans="1:8">
      <c r="A81" s="29"/>
      <c r="B81" s="15"/>
      <c r="C81" s="137" t="s">
        <v>46</v>
      </c>
      <c r="D81" s="452"/>
      <c r="E81" s="15"/>
      <c r="F81" s="137"/>
      <c r="G81" s="384"/>
      <c r="H81" s="384"/>
    </row>
    <row r="82" ht="12" spans="1:8">
      <c r="A82" s="29"/>
      <c r="B82" s="15"/>
      <c r="C82" s="137" t="s">
        <v>49</v>
      </c>
      <c r="D82" s="452"/>
      <c r="E82" s="15"/>
      <c r="F82" s="137"/>
      <c r="G82" s="384"/>
      <c r="H82" s="384"/>
    </row>
    <row r="83" ht="12" spans="1:8">
      <c r="A83" s="29"/>
      <c r="B83" s="451" t="s">
        <v>118</v>
      </c>
      <c r="C83" s="137" t="s">
        <v>7</v>
      </c>
      <c r="D83" s="452"/>
      <c r="E83" s="15"/>
      <c r="F83" s="358"/>
      <c r="G83" s="384"/>
      <c r="H83" s="384"/>
    </row>
    <row r="84" ht="12" spans="1:8">
      <c r="A84" s="29"/>
      <c r="B84" s="15"/>
      <c r="C84" s="137" t="s">
        <v>15</v>
      </c>
      <c r="D84" s="452" t="s">
        <v>87</v>
      </c>
      <c r="E84" s="15"/>
      <c r="F84" s="137"/>
      <c r="G84" s="384"/>
      <c r="H84" s="384"/>
    </row>
    <row r="85" ht="12" spans="1:8">
      <c r="A85" s="29"/>
      <c r="B85" s="15"/>
      <c r="C85" s="137" t="s">
        <v>119</v>
      </c>
      <c r="D85" s="452"/>
      <c r="E85" s="15"/>
      <c r="F85" s="137"/>
      <c r="G85" s="384"/>
      <c r="H85" s="384"/>
    </row>
    <row r="86" ht="12" spans="1:8">
      <c r="A86" s="29"/>
      <c r="B86" s="15"/>
      <c r="C86" s="137" t="s">
        <v>46</v>
      </c>
      <c r="D86" s="452" t="s">
        <v>89</v>
      </c>
      <c r="E86" s="15"/>
      <c r="F86" s="137"/>
      <c r="G86" s="384"/>
      <c r="H86" s="384"/>
    </row>
    <row r="87" ht="12" spans="1:8">
      <c r="A87" s="29"/>
      <c r="B87" s="15"/>
      <c r="C87" s="137" t="s">
        <v>49</v>
      </c>
      <c r="D87" s="452" t="s">
        <v>120</v>
      </c>
      <c r="E87" s="15"/>
      <c r="F87" s="137"/>
      <c r="G87" s="384"/>
      <c r="H87" s="384"/>
    </row>
    <row r="88" ht="12" spans="1:8">
      <c r="A88" s="29"/>
      <c r="B88" s="451" t="s">
        <v>122</v>
      </c>
      <c r="C88" s="137" t="s">
        <v>97</v>
      </c>
      <c r="D88" s="452"/>
      <c r="E88" s="15"/>
      <c r="F88" s="358"/>
      <c r="G88" s="384"/>
      <c r="H88" s="384"/>
    </row>
    <row r="89" ht="12" spans="1:8">
      <c r="A89" s="29"/>
      <c r="B89" s="15"/>
      <c r="C89" s="137" t="s">
        <v>98</v>
      </c>
      <c r="D89" s="452" t="s">
        <v>87</v>
      </c>
      <c r="E89" s="15"/>
      <c r="F89" s="137"/>
      <c r="G89" s="384"/>
      <c r="H89" s="384"/>
    </row>
    <row r="90" ht="12" spans="1:8">
      <c r="A90" s="29"/>
      <c r="B90" s="15"/>
      <c r="C90" s="137" t="s">
        <v>7</v>
      </c>
      <c r="D90" s="452"/>
      <c r="E90" s="15"/>
      <c r="F90" s="137"/>
      <c r="G90" s="384"/>
      <c r="H90" s="384"/>
    </row>
    <row r="91" ht="12" spans="1:8">
      <c r="A91" s="29"/>
      <c r="B91" s="15"/>
      <c r="C91" s="137" t="s">
        <v>15</v>
      </c>
      <c r="D91" s="452" t="s">
        <v>87</v>
      </c>
      <c r="E91" s="15"/>
      <c r="F91" s="137"/>
      <c r="G91" s="384"/>
      <c r="H91" s="384"/>
    </row>
    <row r="92" ht="12" spans="1:8">
      <c r="A92" s="29"/>
      <c r="B92" s="15"/>
      <c r="C92" s="137" t="s">
        <v>119</v>
      </c>
      <c r="D92" s="452"/>
      <c r="E92" s="15"/>
      <c r="F92" s="137"/>
      <c r="G92" s="384"/>
      <c r="H92" s="384"/>
    </row>
    <row r="93" ht="12" spans="1:8">
      <c r="A93" s="29"/>
      <c r="B93" s="15"/>
      <c r="C93" s="137" t="s">
        <v>46</v>
      </c>
      <c r="D93" s="452" t="s">
        <v>89</v>
      </c>
      <c r="E93" s="15"/>
      <c r="F93" s="137"/>
      <c r="G93" s="384"/>
      <c r="H93" s="384"/>
    </row>
    <row r="94" ht="12" spans="1:8">
      <c r="A94" s="29"/>
      <c r="B94" s="15"/>
      <c r="C94" s="137" t="s">
        <v>49</v>
      </c>
      <c r="D94" s="452" t="s">
        <v>120</v>
      </c>
      <c r="E94" s="15"/>
      <c r="F94" s="137"/>
      <c r="G94" s="384"/>
      <c r="H94" s="384"/>
    </row>
    <row r="95" ht="12" spans="1:8">
      <c r="A95" s="29"/>
      <c r="B95" s="451" t="s">
        <v>124</v>
      </c>
      <c r="C95" s="137" t="s">
        <v>7</v>
      </c>
      <c r="D95" s="397"/>
      <c r="E95" s="15"/>
      <c r="F95" s="358"/>
      <c r="G95" s="384"/>
      <c r="H95" s="384"/>
    </row>
    <row r="96" ht="12" spans="1:8">
      <c r="A96" s="29"/>
      <c r="B96" s="15"/>
      <c r="C96" s="137" t="s">
        <v>15</v>
      </c>
      <c r="D96" s="452"/>
      <c r="E96" s="15"/>
      <c r="F96" s="137"/>
      <c r="G96" s="384"/>
      <c r="H96" s="384"/>
    </row>
    <row r="97" ht="12" spans="1:8">
      <c r="A97" s="29"/>
      <c r="B97" s="15"/>
      <c r="C97" s="135" t="s">
        <v>125</v>
      </c>
      <c r="D97" s="452" t="s">
        <v>126</v>
      </c>
      <c r="E97" s="15"/>
      <c r="F97" s="137"/>
      <c r="G97" s="384"/>
      <c r="H97" s="384"/>
    </row>
    <row r="98" ht="12" spans="1:8">
      <c r="A98" s="29"/>
      <c r="B98" s="15"/>
      <c r="C98" s="135" t="s">
        <v>125</v>
      </c>
      <c r="D98" s="452" t="s">
        <v>127</v>
      </c>
      <c r="E98" s="15"/>
      <c r="F98" s="137"/>
      <c r="G98" s="384"/>
      <c r="H98" s="384"/>
    </row>
    <row r="99" ht="12" spans="1:8">
      <c r="A99" s="29"/>
      <c r="B99" s="15"/>
      <c r="C99" s="135" t="s">
        <v>128</v>
      </c>
      <c r="D99" s="452"/>
      <c r="E99" s="15"/>
      <c r="F99" s="137"/>
      <c r="G99" s="384"/>
      <c r="H99" s="384"/>
    </row>
    <row r="100" ht="12" spans="1:8">
      <c r="A100" s="29"/>
      <c r="B100" s="15"/>
      <c r="C100" s="135" t="s">
        <v>129</v>
      </c>
      <c r="D100" s="452" t="s">
        <v>130</v>
      </c>
      <c r="E100" s="15"/>
      <c r="F100" s="137"/>
      <c r="G100" s="384"/>
      <c r="H100" s="384"/>
    </row>
    <row r="101" ht="12" hidden="1" spans="1:8">
      <c r="A101" s="85" t="s">
        <v>163</v>
      </c>
      <c r="B101" s="16" t="s">
        <v>6</v>
      </c>
      <c r="C101" s="447" t="s">
        <v>7</v>
      </c>
      <c r="D101" s="294" t="s">
        <v>8</v>
      </c>
      <c r="E101" s="144" t="s">
        <v>9</v>
      </c>
      <c r="F101" s="450" t="s">
        <v>164</v>
      </c>
      <c r="G101" s="384"/>
      <c r="H101" s="384"/>
    </row>
    <row r="102" ht="12" hidden="1" spans="1:8">
      <c r="A102" s="127"/>
      <c r="B102" s="15"/>
      <c r="C102" s="137" t="s">
        <v>7</v>
      </c>
      <c r="D102" s="452" t="s">
        <v>10</v>
      </c>
      <c r="E102" s="15" t="s">
        <v>11</v>
      </c>
      <c r="F102" s="448"/>
      <c r="G102" s="384"/>
      <c r="H102" s="384"/>
    </row>
    <row r="103" ht="12" hidden="1" spans="1:8">
      <c r="A103" s="127"/>
      <c r="B103" s="15"/>
      <c r="C103" s="137" t="s">
        <v>12</v>
      </c>
      <c r="D103" s="452"/>
      <c r="E103" s="15" t="s">
        <v>11</v>
      </c>
      <c r="F103" s="448"/>
      <c r="G103" s="384"/>
      <c r="H103" s="384"/>
    </row>
    <row r="104" ht="12" hidden="1" spans="1:8">
      <c r="A104" s="127"/>
      <c r="B104" s="15"/>
      <c r="C104" s="137" t="s">
        <v>13</v>
      </c>
      <c r="D104" s="452"/>
      <c r="E104" s="15" t="s">
        <v>14</v>
      </c>
      <c r="F104" s="448"/>
      <c r="G104" s="384"/>
      <c r="H104" s="384"/>
    </row>
    <row r="105" ht="12" hidden="1" spans="1:8">
      <c r="A105" s="127"/>
      <c r="B105" s="15"/>
      <c r="C105" s="137" t="s">
        <v>15</v>
      </c>
      <c r="D105" s="452"/>
      <c r="E105" s="15" t="s">
        <v>16</v>
      </c>
      <c r="F105" s="144"/>
      <c r="G105" s="384"/>
      <c r="H105" s="384"/>
    </row>
    <row r="106" ht="12" hidden="1" spans="1:8">
      <c r="A106" s="127"/>
      <c r="B106" s="16" t="s">
        <v>17</v>
      </c>
      <c r="C106" s="447" t="s">
        <v>7</v>
      </c>
      <c r="D106" s="452" t="s">
        <v>18</v>
      </c>
      <c r="E106" s="144" t="s">
        <v>19</v>
      </c>
      <c r="F106" s="353" t="s">
        <v>165</v>
      </c>
      <c r="G106" s="384"/>
      <c r="H106" s="384"/>
    </row>
    <row r="107" ht="12" hidden="1" spans="1:8">
      <c r="A107" s="127"/>
      <c r="B107" s="15"/>
      <c r="C107" s="137" t="s">
        <v>7</v>
      </c>
      <c r="D107" s="452" t="s">
        <v>18</v>
      </c>
      <c r="E107" s="15" t="s">
        <v>20</v>
      </c>
      <c r="F107" s="449"/>
      <c r="G107" s="384"/>
      <c r="H107" s="384"/>
    </row>
    <row r="108" ht="12" hidden="1" spans="1:8">
      <c r="A108" s="127"/>
      <c r="B108" s="15"/>
      <c r="C108" s="137" t="s">
        <v>12</v>
      </c>
      <c r="D108" s="452" t="s">
        <v>18</v>
      </c>
      <c r="E108" s="15" t="s">
        <v>20</v>
      </c>
      <c r="F108" s="449"/>
      <c r="G108" s="384"/>
      <c r="H108" s="384"/>
    </row>
    <row r="109" ht="12" hidden="1" spans="1:8">
      <c r="A109" s="127"/>
      <c r="B109" s="15"/>
      <c r="C109" s="137" t="s">
        <v>7</v>
      </c>
      <c r="D109" s="452" t="s">
        <v>21</v>
      </c>
      <c r="E109" s="15" t="s">
        <v>22</v>
      </c>
      <c r="F109" s="449"/>
      <c r="G109" s="384"/>
      <c r="H109" s="384"/>
    </row>
    <row r="110" ht="12" hidden="1" spans="1:8">
      <c r="A110" s="127"/>
      <c r="B110" s="15"/>
      <c r="C110" s="137" t="s">
        <v>7</v>
      </c>
      <c r="D110" s="452" t="s">
        <v>21</v>
      </c>
      <c r="E110" s="15" t="s">
        <v>24</v>
      </c>
      <c r="F110" s="449"/>
      <c r="G110" s="384"/>
      <c r="H110" s="384"/>
    </row>
    <row r="111" ht="12" hidden="1" spans="1:8">
      <c r="A111" s="127"/>
      <c r="B111" s="15"/>
      <c r="C111" s="137" t="s">
        <v>13</v>
      </c>
      <c r="D111" s="452"/>
      <c r="E111" s="15" t="s">
        <v>14</v>
      </c>
      <c r="F111" s="449"/>
      <c r="G111" s="384"/>
      <c r="H111" s="384"/>
    </row>
    <row r="112" ht="12" hidden="1" spans="1:8">
      <c r="A112" s="127"/>
      <c r="B112" s="15"/>
      <c r="C112" s="137" t="s">
        <v>15</v>
      </c>
      <c r="D112" s="452"/>
      <c r="E112" s="15" t="s">
        <v>16</v>
      </c>
      <c r="F112" s="447"/>
      <c r="G112" s="384"/>
      <c r="H112" s="384"/>
    </row>
    <row r="113" ht="12" hidden="1" spans="1:8">
      <c r="A113" s="127"/>
      <c r="B113" s="16" t="s">
        <v>26</v>
      </c>
      <c r="C113" s="137" t="s">
        <v>27</v>
      </c>
      <c r="D113" s="452"/>
      <c r="E113" s="15"/>
      <c r="F113" s="358"/>
      <c r="G113" s="384"/>
      <c r="H113" s="384"/>
    </row>
    <row r="114" ht="12" hidden="1" spans="1:8">
      <c r="A114" s="127"/>
      <c r="B114" s="15"/>
      <c r="C114" s="137" t="s">
        <v>28</v>
      </c>
      <c r="D114" s="452"/>
      <c r="E114" s="15"/>
      <c r="F114" s="15"/>
      <c r="G114" s="384"/>
      <c r="H114" s="384"/>
    </row>
    <row r="115" ht="12" hidden="1" spans="1:8">
      <c r="A115" s="127"/>
      <c r="B115" s="15"/>
      <c r="C115" s="137" t="s">
        <v>29</v>
      </c>
      <c r="D115" s="452"/>
      <c r="E115" s="15"/>
      <c r="F115" s="15"/>
      <c r="G115" s="384"/>
      <c r="H115" s="384"/>
    </row>
    <row r="116" ht="12" hidden="1" spans="1:8">
      <c r="A116" s="127"/>
      <c r="B116" s="15"/>
      <c r="C116" s="137" t="s">
        <v>30</v>
      </c>
      <c r="D116" s="452"/>
      <c r="E116" s="15"/>
      <c r="F116" s="15"/>
      <c r="G116" s="384"/>
      <c r="H116" s="384"/>
    </row>
    <row r="117" ht="12" hidden="1" spans="1:8">
      <c r="A117" s="127"/>
      <c r="B117" s="16" t="s">
        <v>32</v>
      </c>
      <c r="C117" s="137" t="s">
        <v>33</v>
      </c>
      <c r="D117" s="452"/>
      <c r="E117" s="15"/>
      <c r="F117" s="358"/>
      <c r="G117" s="384"/>
      <c r="H117" s="384"/>
    </row>
    <row r="118" ht="12" hidden="1" spans="1:8">
      <c r="A118" s="127"/>
      <c r="B118" s="15"/>
      <c r="C118" s="137" t="s">
        <v>34</v>
      </c>
      <c r="D118" s="452"/>
      <c r="E118" s="15"/>
      <c r="F118" s="15"/>
      <c r="G118" s="384"/>
      <c r="H118" s="384"/>
    </row>
    <row r="119" ht="12" hidden="1" spans="1:8">
      <c r="A119" s="127"/>
      <c r="B119" s="15"/>
      <c r="C119" s="137" t="s">
        <v>35</v>
      </c>
      <c r="D119" s="452"/>
      <c r="E119" s="15"/>
      <c r="F119" s="15"/>
      <c r="G119" s="384"/>
      <c r="H119" s="384"/>
    </row>
    <row r="120" ht="12" hidden="1" spans="1:8">
      <c r="A120" s="127"/>
      <c r="B120" s="15"/>
      <c r="C120" s="137" t="s">
        <v>36</v>
      </c>
      <c r="D120" s="452"/>
      <c r="E120" s="15"/>
      <c r="F120" s="15"/>
      <c r="G120" s="384"/>
      <c r="H120" s="384"/>
    </row>
    <row r="121" ht="12" hidden="1" spans="1:8">
      <c r="A121" s="127"/>
      <c r="B121" s="451" t="s">
        <v>38</v>
      </c>
      <c r="C121" s="137" t="s">
        <v>39</v>
      </c>
      <c r="D121" s="296" t="s">
        <v>40</v>
      </c>
      <c r="E121" s="16"/>
      <c r="F121" s="358"/>
      <c r="G121" s="384"/>
      <c r="H121" s="384"/>
    </row>
    <row r="122" ht="12" hidden="1" spans="1:8">
      <c r="A122" s="127"/>
      <c r="B122" s="15"/>
      <c r="C122" s="137" t="s">
        <v>41</v>
      </c>
      <c r="D122" s="452"/>
      <c r="E122" s="15"/>
      <c r="F122" s="15"/>
      <c r="G122" s="384"/>
      <c r="H122" s="384"/>
    </row>
    <row r="123" ht="12" hidden="1" spans="1:8">
      <c r="A123" s="127"/>
      <c r="B123" s="15"/>
      <c r="C123" s="137" t="s">
        <v>42</v>
      </c>
      <c r="D123" s="452"/>
      <c r="E123" s="15"/>
      <c r="F123" s="15"/>
      <c r="G123" s="384"/>
      <c r="H123" s="384"/>
    </row>
    <row r="124" ht="12" hidden="1" spans="1:8">
      <c r="A124" s="127"/>
      <c r="B124" s="15"/>
      <c r="C124" s="137" t="s">
        <v>43</v>
      </c>
      <c r="D124" s="452"/>
      <c r="E124" s="15"/>
      <c r="F124" s="15"/>
      <c r="G124" s="384"/>
      <c r="H124" s="384"/>
    </row>
    <row r="125" ht="12" hidden="1" spans="1:8">
      <c r="A125" s="127"/>
      <c r="B125" s="16" t="s">
        <v>45</v>
      </c>
      <c r="C125" s="137" t="s">
        <v>46</v>
      </c>
      <c r="D125" s="452"/>
      <c r="E125" s="15"/>
      <c r="F125" s="358"/>
      <c r="G125" s="384"/>
      <c r="H125" s="384"/>
    </row>
    <row r="126" ht="12" hidden="1" spans="1:8">
      <c r="A126" s="127"/>
      <c r="B126" s="15"/>
      <c r="C126" s="137" t="s">
        <v>47</v>
      </c>
      <c r="D126" s="452"/>
      <c r="E126" s="15"/>
      <c r="F126" s="15"/>
      <c r="G126" s="384"/>
      <c r="H126" s="384"/>
    </row>
    <row r="127" ht="12" hidden="1" spans="1:8">
      <c r="A127" s="127"/>
      <c r="B127" s="15"/>
      <c r="C127" s="137" t="s">
        <v>48</v>
      </c>
      <c r="D127" s="452"/>
      <c r="E127" s="15"/>
      <c r="F127" s="15"/>
      <c r="G127" s="384"/>
      <c r="H127" s="384"/>
    </row>
    <row r="128" ht="12" hidden="1" spans="1:8">
      <c r="A128" s="127"/>
      <c r="B128" s="15"/>
      <c r="C128" s="137" t="s">
        <v>49</v>
      </c>
      <c r="D128" s="452"/>
      <c r="E128" s="15"/>
      <c r="F128" s="15"/>
      <c r="G128" s="384"/>
      <c r="H128" s="384"/>
    </row>
    <row r="129" ht="12" hidden="1" spans="1:8">
      <c r="A129" s="127"/>
      <c r="B129" s="451" t="s">
        <v>51</v>
      </c>
      <c r="C129" s="137" t="s">
        <v>52</v>
      </c>
      <c r="D129" s="296" t="s">
        <v>40</v>
      </c>
      <c r="E129" s="16"/>
      <c r="F129" s="358"/>
      <c r="G129" s="384"/>
      <c r="H129" s="384"/>
    </row>
    <row r="130" ht="12" hidden="1" spans="1:8">
      <c r="A130" s="127"/>
      <c r="B130" s="15"/>
      <c r="C130" s="137" t="s">
        <v>53</v>
      </c>
      <c r="D130" s="452"/>
      <c r="E130" s="15"/>
      <c r="F130" s="15"/>
      <c r="G130" s="384"/>
      <c r="H130" s="384"/>
    </row>
    <row r="131" ht="12" hidden="1" spans="1:8">
      <c r="A131" s="127"/>
      <c r="B131" s="15"/>
      <c r="C131" s="137" t="s">
        <v>54</v>
      </c>
      <c r="D131" s="452"/>
      <c r="E131" s="15"/>
      <c r="F131" s="15"/>
      <c r="G131" s="384"/>
      <c r="H131" s="384"/>
    </row>
    <row r="132" ht="12" hidden="1" spans="1:8">
      <c r="A132" s="127"/>
      <c r="B132" s="15"/>
      <c r="C132" s="137" t="s">
        <v>55</v>
      </c>
      <c r="D132" s="452"/>
      <c r="E132" s="15"/>
      <c r="F132" s="15"/>
      <c r="G132" s="384"/>
      <c r="H132" s="384"/>
    </row>
    <row r="133" ht="12" hidden="1" spans="1:8">
      <c r="A133" s="127"/>
      <c r="B133" s="16" t="s">
        <v>57</v>
      </c>
      <c r="C133" s="137" t="s">
        <v>58</v>
      </c>
      <c r="D133" s="452"/>
      <c r="E133" s="15"/>
      <c r="F133" s="358"/>
      <c r="G133" s="384"/>
      <c r="H133" s="384"/>
    </row>
    <row r="134" ht="12" hidden="1" spans="1:8">
      <c r="A134" s="127"/>
      <c r="B134" s="15"/>
      <c r="C134" s="137" t="s">
        <v>59</v>
      </c>
      <c r="D134" s="452"/>
      <c r="E134" s="15"/>
      <c r="F134" s="15"/>
      <c r="G134" s="384"/>
      <c r="H134" s="384"/>
    </row>
    <row r="135" ht="12" hidden="1" spans="1:8">
      <c r="A135" s="127"/>
      <c r="B135" s="15"/>
      <c r="C135" s="137" t="s">
        <v>60</v>
      </c>
      <c r="D135" s="452"/>
      <c r="E135" s="15"/>
      <c r="F135" s="15"/>
      <c r="G135" s="384"/>
      <c r="H135" s="384"/>
    </row>
    <row r="136" ht="12" hidden="1" spans="1:8">
      <c r="A136" s="127"/>
      <c r="B136" s="15"/>
      <c r="C136" s="137" t="s">
        <v>61</v>
      </c>
      <c r="D136" s="452"/>
      <c r="E136" s="15"/>
      <c r="F136" s="15"/>
      <c r="G136" s="384"/>
      <c r="H136" s="384"/>
    </row>
    <row r="137" ht="12" hidden="1" spans="1:8">
      <c r="A137" s="127"/>
      <c r="B137" s="16" t="s">
        <v>82</v>
      </c>
      <c r="C137" s="137" t="s">
        <v>7</v>
      </c>
      <c r="D137" s="452"/>
      <c r="E137" s="15"/>
      <c r="F137" s="357"/>
      <c r="G137" s="384"/>
      <c r="H137" s="384"/>
    </row>
    <row r="138" ht="12" hidden="1" spans="1:8">
      <c r="A138" s="127"/>
      <c r="B138" s="15"/>
      <c r="C138" s="137" t="s">
        <v>15</v>
      </c>
      <c r="D138" s="452"/>
      <c r="E138" s="15"/>
      <c r="F138" s="15"/>
      <c r="G138" s="384"/>
      <c r="H138" s="384"/>
    </row>
    <row r="139" ht="12" hidden="1" spans="1:8">
      <c r="A139" s="127"/>
      <c r="B139" s="15"/>
      <c r="C139" s="137" t="s">
        <v>27</v>
      </c>
      <c r="D139" s="452"/>
      <c r="E139" s="15"/>
      <c r="F139" s="15"/>
      <c r="G139" s="384"/>
      <c r="H139" s="384"/>
    </row>
    <row r="140" ht="12" hidden="1" spans="1:8">
      <c r="A140" s="127"/>
      <c r="B140" s="15"/>
      <c r="C140" s="137" t="s">
        <v>30</v>
      </c>
      <c r="D140" s="452"/>
      <c r="E140" s="15"/>
      <c r="F140" s="15"/>
      <c r="G140" s="384"/>
      <c r="H140" s="384"/>
    </row>
    <row r="141" ht="12" hidden="1" spans="1:8">
      <c r="A141" s="127"/>
      <c r="B141" s="15"/>
      <c r="C141" s="137" t="s">
        <v>33</v>
      </c>
      <c r="D141" s="452"/>
      <c r="E141" s="15"/>
      <c r="F141" s="15"/>
      <c r="G141" s="384"/>
      <c r="H141" s="384"/>
    </row>
    <row r="142" ht="12" hidden="1" spans="1:8">
      <c r="A142" s="127"/>
      <c r="B142" s="15"/>
      <c r="C142" s="137" t="s">
        <v>36</v>
      </c>
      <c r="D142" s="452"/>
      <c r="E142" s="15"/>
      <c r="F142" s="15"/>
      <c r="G142" s="384"/>
      <c r="H142" s="384"/>
    </row>
    <row r="143" ht="12" hidden="1" spans="1:8">
      <c r="A143" s="127"/>
      <c r="B143" s="16" t="s">
        <v>84</v>
      </c>
      <c r="C143" s="137" t="s">
        <v>85</v>
      </c>
      <c r="D143" s="452"/>
      <c r="E143" s="15"/>
      <c r="F143" s="357"/>
      <c r="G143" s="384"/>
      <c r="H143" s="384"/>
    </row>
    <row r="144" ht="12" hidden="1" spans="1:8">
      <c r="A144" s="127"/>
      <c r="B144" s="15"/>
      <c r="C144" s="137" t="s">
        <v>86</v>
      </c>
      <c r="D144" s="452" t="s">
        <v>87</v>
      </c>
      <c r="E144" s="15"/>
      <c r="F144" s="15"/>
      <c r="G144" s="384"/>
      <c r="H144" s="384"/>
    </row>
    <row r="145" ht="12" hidden="1" spans="1:8">
      <c r="A145" s="127"/>
      <c r="B145" s="15"/>
      <c r="C145" s="137" t="s">
        <v>88</v>
      </c>
      <c r="D145" s="452" t="s">
        <v>89</v>
      </c>
      <c r="E145" s="15" t="s">
        <v>90</v>
      </c>
      <c r="F145" s="15"/>
      <c r="G145" s="384"/>
      <c r="H145" s="384"/>
    </row>
    <row r="146" ht="12" hidden="1" spans="1:8">
      <c r="A146" s="127"/>
      <c r="B146" s="15"/>
      <c r="C146" s="137" t="s">
        <v>91</v>
      </c>
      <c r="D146" s="452" t="s">
        <v>92</v>
      </c>
      <c r="E146" s="15" t="s">
        <v>90</v>
      </c>
      <c r="F146" s="15"/>
      <c r="G146" s="384"/>
      <c r="H146" s="384"/>
    </row>
    <row r="147" ht="12" hidden="1" spans="1:8">
      <c r="A147" s="127"/>
      <c r="B147" s="15"/>
      <c r="C147" s="137" t="s">
        <v>93</v>
      </c>
      <c r="D147" s="452" t="s">
        <v>94</v>
      </c>
      <c r="E147" s="15" t="s">
        <v>90</v>
      </c>
      <c r="F147" s="15"/>
      <c r="G147" s="384"/>
      <c r="H147" s="384"/>
    </row>
    <row r="148" ht="12" hidden="1" spans="1:8">
      <c r="A148" s="127"/>
      <c r="B148" s="15"/>
      <c r="C148" s="137" t="s">
        <v>93</v>
      </c>
      <c r="D148" s="452" t="s">
        <v>95</v>
      </c>
      <c r="E148" s="15" t="s">
        <v>90</v>
      </c>
      <c r="F148" s="15"/>
      <c r="G148" s="384"/>
      <c r="H148" s="384"/>
    </row>
    <row r="149" ht="12" hidden="1" spans="1:8">
      <c r="A149" s="127"/>
      <c r="B149" s="451" t="s">
        <v>96</v>
      </c>
      <c r="C149" s="137" t="s">
        <v>97</v>
      </c>
      <c r="D149" s="452"/>
      <c r="E149" s="15"/>
      <c r="F149" s="357"/>
      <c r="G149" s="384"/>
      <c r="H149" s="384"/>
    </row>
    <row r="150" ht="12" hidden="1" spans="1:8">
      <c r="A150" s="127"/>
      <c r="B150" s="15"/>
      <c r="C150" s="137" t="s">
        <v>98</v>
      </c>
      <c r="D150" s="452" t="s">
        <v>87</v>
      </c>
      <c r="E150" s="15" t="s">
        <v>99</v>
      </c>
      <c r="F150" s="15"/>
      <c r="G150" s="384"/>
      <c r="H150" s="384"/>
    </row>
    <row r="151" ht="12" hidden="1" spans="1:8">
      <c r="A151" s="127"/>
      <c r="B151" s="15"/>
      <c r="C151" s="137" t="s">
        <v>7</v>
      </c>
      <c r="D151" s="452" t="s">
        <v>89</v>
      </c>
      <c r="E151" s="15"/>
      <c r="F151" s="15"/>
      <c r="G151" s="384"/>
      <c r="H151" s="384"/>
    </row>
    <row r="152" ht="12" hidden="1" spans="1:8">
      <c r="A152" s="127"/>
      <c r="B152" s="15"/>
      <c r="C152" s="137" t="s">
        <v>100</v>
      </c>
      <c r="D152" s="452" t="s">
        <v>92</v>
      </c>
      <c r="E152" s="15"/>
      <c r="F152" s="15"/>
      <c r="G152" s="384"/>
      <c r="H152" s="384"/>
    </row>
    <row r="153" ht="12" hidden="1" spans="1:8">
      <c r="A153" s="127"/>
      <c r="B153" s="15"/>
      <c r="C153" s="137" t="s">
        <v>15</v>
      </c>
      <c r="D153" s="452" t="s">
        <v>94</v>
      </c>
      <c r="E153" s="15"/>
      <c r="F153" s="15"/>
      <c r="G153" s="384"/>
      <c r="H153" s="384"/>
    </row>
    <row r="154" ht="12" hidden="1" spans="1:8">
      <c r="A154" s="127"/>
      <c r="B154" s="15"/>
      <c r="C154" s="137" t="s">
        <v>15</v>
      </c>
      <c r="D154" s="452" t="s">
        <v>95</v>
      </c>
      <c r="E154" s="15"/>
      <c r="F154" s="15"/>
      <c r="G154" s="384"/>
      <c r="H154" s="384"/>
    </row>
    <row r="155" ht="12" hidden="1" spans="1:8">
      <c r="A155" s="127"/>
      <c r="B155" s="451" t="s">
        <v>102</v>
      </c>
      <c r="C155" s="137" t="s">
        <v>97</v>
      </c>
      <c r="D155" s="452"/>
      <c r="E155" s="15"/>
      <c r="F155" s="357"/>
      <c r="G155" s="384"/>
      <c r="H155" s="384"/>
    </row>
    <row r="156" ht="12" hidden="1" spans="1:8">
      <c r="A156" s="127"/>
      <c r="B156" s="15"/>
      <c r="C156" s="137" t="s">
        <v>98</v>
      </c>
      <c r="D156" s="452" t="s">
        <v>87</v>
      </c>
      <c r="E156" s="15"/>
      <c r="F156" s="15"/>
      <c r="G156" s="384"/>
      <c r="H156" s="384"/>
    </row>
    <row r="157" ht="12" hidden="1" spans="1:8">
      <c r="A157" s="127"/>
      <c r="B157" s="15"/>
      <c r="C157" s="137" t="s">
        <v>88</v>
      </c>
      <c r="D157" s="452" t="s">
        <v>89</v>
      </c>
      <c r="E157" s="15" t="s">
        <v>90</v>
      </c>
      <c r="F157" s="15"/>
      <c r="G157" s="384"/>
      <c r="H157" s="384"/>
    </row>
    <row r="158" ht="12" hidden="1" spans="1:8">
      <c r="A158" s="127"/>
      <c r="B158" s="15"/>
      <c r="C158" s="137" t="s">
        <v>91</v>
      </c>
      <c r="D158" s="452" t="s">
        <v>92</v>
      </c>
      <c r="E158" s="15" t="s">
        <v>90</v>
      </c>
      <c r="F158" s="15"/>
      <c r="G158" s="384"/>
      <c r="H158" s="384"/>
    </row>
    <row r="159" ht="12" hidden="1" spans="1:8">
      <c r="A159" s="127"/>
      <c r="B159" s="15"/>
      <c r="C159" s="137" t="s">
        <v>93</v>
      </c>
      <c r="D159" s="452" t="s">
        <v>94</v>
      </c>
      <c r="E159" s="15" t="s">
        <v>90</v>
      </c>
      <c r="F159" s="15"/>
      <c r="G159" s="384"/>
      <c r="H159" s="384"/>
    </row>
    <row r="160" ht="12" hidden="1" spans="1:8">
      <c r="A160" s="127"/>
      <c r="B160" s="15"/>
      <c r="C160" s="137" t="s">
        <v>93</v>
      </c>
      <c r="D160" s="452" t="s">
        <v>95</v>
      </c>
      <c r="E160" s="15" t="s">
        <v>90</v>
      </c>
      <c r="F160" s="15"/>
      <c r="G160" s="384"/>
      <c r="H160" s="384"/>
    </row>
    <row r="161" ht="51.75" hidden="1" customHeight="1" spans="1:8">
      <c r="A161" s="127"/>
      <c r="B161" s="451" t="s">
        <v>104</v>
      </c>
      <c r="C161" s="137" t="s">
        <v>39</v>
      </c>
      <c r="D161" s="454" t="s">
        <v>40</v>
      </c>
      <c r="E161" s="15"/>
      <c r="F161" s="357"/>
      <c r="G161" s="384"/>
      <c r="H161" s="384"/>
    </row>
    <row r="162" ht="12" hidden="1" spans="1:8">
      <c r="A162" s="127"/>
      <c r="B162" s="15"/>
      <c r="C162" s="137" t="s">
        <v>41</v>
      </c>
      <c r="D162" s="452" t="s">
        <v>87</v>
      </c>
      <c r="E162" s="15"/>
      <c r="F162" s="15"/>
      <c r="G162" s="384"/>
      <c r="H162" s="384"/>
    </row>
    <row r="163" ht="12" hidden="1" spans="1:8">
      <c r="A163" s="127"/>
      <c r="B163" s="15"/>
      <c r="C163" s="137" t="s">
        <v>88</v>
      </c>
      <c r="D163" s="452" t="s">
        <v>89</v>
      </c>
      <c r="E163" s="15" t="s">
        <v>90</v>
      </c>
      <c r="F163" s="15"/>
      <c r="G163" s="384"/>
      <c r="H163" s="384"/>
    </row>
    <row r="164" ht="12" hidden="1" spans="1:8">
      <c r="A164" s="127"/>
      <c r="B164" s="15"/>
      <c r="C164" s="137" t="s">
        <v>91</v>
      </c>
      <c r="D164" s="452" t="s">
        <v>92</v>
      </c>
      <c r="E164" s="15" t="s">
        <v>90</v>
      </c>
      <c r="F164" s="15"/>
      <c r="G164" s="384"/>
      <c r="H164" s="384"/>
    </row>
    <row r="165" ht="12" hidden="1" spans="1:8">
      <c r="A165" s="127"/>
      <c r="B165" s="15"/>
      <c r="C165" s="137" t="s">
        <v>93</v>
      </c>
      <c r="D165" s="452" t="s">
        <v>94</v>
      </c>
      <c r="E165" s="15" t="s">
        <v>90</v>
      </c>
      <c r="F165" s="15"/>
      <c r="G165" s="384"/>
      <c r="H165" s="384"/>
    </row>
    <row r="166" ht="12" hidden="1" spans="1:8">
      <c r="A166" s="127"/>
      <c r="B166" s="15"/>
      <c r="C166" s="137" t="s">
        <v>93</v>
      </c>
      <c r="D166" s="452" t="s">
        <v>95</v>
      </c>
      <c r="E166" s="15" t="s">
        <v>90</v>
      </c>
      <c r="F166" s="15"/>
      <c r="G166" s="384"/>
      <c r="H166" s="384"/>
    </row>
    <row r="167" ht="12" hidden="1" spans="1:8">
      <c r="A167" s="127"/>
      <c r="B167" s="16" t="s">
        <v>106</v>
      </c>
      <c r="C167" s="137" t="s">
        <v>46</v>
      </c>
      <c r="D167" s="452"/>
      <c r="E167" s="15"/>
      <c r="F167" s="357"/>
      <c r="G167" s="384"/>
      <c r="H167" s="384"/>
    </row>
    <row r="168" ht="12" hidden="1" spans="1:8">
      <c r="A168" s="127"/>
      <c r="B168" s="15"/>
      <c r="C168" s="137" t="s">
        <v>49</v>
      </c>
      <c r="D168" s="452"/>
      <c r="E168" s="15"/>
      <c r="F168" s="15"/>
      <c r="G168" s="384"/>
      <c r="H168" s="384"/>
    </row>
    <row r="169" ht="12" hidden="1" spans="1:8">
      <c r="A169" s="127"/>
      <c r="B169" s="15"/>
      <c r="C169" s="137" t="s">
        <v>58</v>
      </c>
      <c r="D169" s="452"/>
      <c r="E169" s="15"/>
      <c r="F169" s="15"/>
      <c r="G169" s="384"/>
      <c r="H169" s="384"/>
    </row>
    <row r="170" ht="12" hidden="1" spans="1:8">
      <c r="A170" s="127"/>
      <c r="B170" s="15"/>
      <c r="C170" s="137" t="s">
        <v>61</v>
      </c>
      <c r="D170" s="452"/>
      <c r="E170" s="15"/>
      <c r="F170" s="15"/>
      <c r="G170" s="384"/>
      <c r="H170" s="384"/>
    </row>
    <row r="171" ht="12" hidden="1" spans="1:8">
      <c r="A171" s="127"/>
      <c r="B171" s="15"/>
      <c r="C171" s="137" t="s">
        <v>64</v>
      </c>
      <c r="D171" s="452"/>
      <c r="E171" s="15"/>
      <c r="F171" s="15"/>
      <c r="G171" s="384"/>
      <c r="H171" s="384"/>
    </row>
    <row r="172" ht="12" hidden="1" spans="1:8">
      <c r="A172" s="127"/>
      <c r="B172" s="15"/>
      <c r="C172" s="137" t="s">
        <v>67</v>
      </c>
      <c r="D172" s="452"/>
      <c r="E172" s="15"/>
      <c r="F172" s="15"/>
      <c r="G172" s="384"/>
      <c r="H172" s="384"/>
    </row>
    <row r="173" ht="12" hidden="1" spans="1:8">
      <c r="A173" s="127"/>
      <c r="B173" s="451" t="s">
        <v>108</v>
      </c>
      <c r="C173" s="137" t="s">
        <v>97</v>
      </c>
      <c r="D173" s="452"/>
      <c r="E173" s="15"/>
      <c r="F173" s="357"/>
      <c r="G173" s="384"/>
      <c r="H173" s="384"/>
    </row>
    <row r="174" ht="12" hidden="1" spans="1:8">
      <c r="A174" s="127"/>
      <c r="B174" s="15"/>
      <c r="C174" s="137" t="s">
        <v>98</v>
      </c>
      <c r="D174" s="452" t="s">
        <v>87</v>
      </c>
      <c r="E174" s="15"/>
      <c r="F174" s="15"/>
      <c r="G174" s="384"/>
      <c r="H174" s="384"/>
    </row>
    <row r="175" ht="12" hidden="1" spans="1:8">
      <c r="A175" s="127"/>
      <c r="B175" s="15"/>
      <c r="C175" s="137" t="s">
        <v>109</v>
      </c>
      <c r="D175" s="452" t="s">
        <v>89</v>
      </c>
      <c r="E175" s="15" t="s">
        <v>90</v>
      </c>
      <c r="F175" s="15"/>
      <c r="G175" s="384"/>
      <c r="H175" s="384"/>
    </row>
    <row r="176" ht="12" hidden="1" spans="1:8">
      <c r="A176" s="127"/>
      <c r="B176" s="15"/>
      <c r="C176" s="137" t="s">
        <v>110</v>
      </c>
      <c r="D176" s="452" t="s">
        <v>89</v>
      </c>
      <c r="E176" s="15" t="s">
        <v>90</v>
      </c>
      <c r="F176" s="15"/>
      <c r="G176" s="384"/>
      <c r="H176" s="384"/>
    </row>
    <row r="177" ht="12" hidden="1" spans="1:8">
      <c r="A177" s="127"/>
      <c r="B177" s="15"/>
      <c r="C177" s="137" t="s">
        <v>111</v>
      </c>
      <c r="D177" s="452" t="s">
        <v>94</v>
      </c>
      <c r="E177" s="15" t="s">
        <v>90</v>
      </c>
      <c r="F177" s="15"/>
      <c r="G177" s="384"/>
      <c r="H177" s="384"/>
    </row>
    <row r="178" ht="12" hidden="1" spans="1:8">
      <c r="A178" s="127"/>
      <c r="B178" s="15"/>
      <c r="C178" s="137" t="s">
        <v>111</v>
      </c>
      <c r="D178" s="452" t="s">
        <v>95</v>
      </c>
      <c r="E178" s="15" t="s">
        <v>90</v>
      </c>
      <c r="F178" s="15"/>
      <c r="G178" s="384"/>
      <c r="H178" s="384"/>
    </row>
    <row r="179" ht="51.75" hidden="1" customHeight="1" spans="1:8">
      <c r="A179" s="127"/>
      <c r="B179" s="451" t="s">
        <v>113</v>
      </c>
      <c r="C179" s="137" t="s">
        <v>39</v>
      </c>
      <c r="D179" s="454" t="s">
        <v>40</v>
      </c>
      <c r="E179" s="15"/>
      <c r="F179" s="357"/>
      <c r="G179" s="384"/>
      <c r="H179" s="384"/>
    </row>
    <row r="180" ht="12" hidden="1" spans="1:8">
      <c r="A180" s="127"/>
      <c r="B180" s="15"/>
      <c r="C180" s="137" t="s">
        <v>41</v>
      </c>
      <c r="D180" s="452" t="s">
        <v>87</v>
      </c>
      <c r="E180" s="15"/>
      <c r="F180" s="15"/>
      <c r="G180" s="384"/>
      <c r="H180" s="384"/>
    </row>
    <row r="181" ht="12" hidden="1" spans="1:8">
      <c r="A181" s="127"/>
      <c r="B181" s="15"/>
      <c r="C181" s="137" t="s">
        <v>109</v>
      </c>
      <c r="D181" s="452" t="s">
        <v>89</v>
      </c>
      <c r="E181" s="15" t="s">
        <v>90</v>
      </c>
      <c r="F181" s="15"/>
      <c r="G181" s="384"/>
      <c r="H181" s="384"/>
    </row>
    <row r="182" ht="12" hidden="1" spans="1:8">
      <c r="A182" s="127"/>
      <c r="B182" s="15"/>
      <c r="C182" s="137" t="s">
        <v>110</v>
      </c>
      <c r="D182" s="452" t="s">
        <v>92</v>
      </c>
      <c r="E182" s="15" t="s">
        <v>90</v>
      </c>
      <c r="F182" s="15"/>
      <c r="G182" s="384"/>
      <c r="H182" s="384"/>
    </row>
    <row r="183" ht="12" hidden="1" spans="1:8">
      <c r="A183" s="127"/>
      <c r="B183" s="15"/>
      <c r="C183" s="137" t="s">
        <v>111</v>
      </c>
      <c r="D183" s="452" t="s">
        <v>94</v>
      </c>
      <c r="E183" s="15" t="s">
        <v>90</v>
      </c>
      <c r="F183" s="15"/>
      <c r="G183" s="384"/>
      <c r="H183" s="384"/>
    </row>
    <row r="184" ht="12" hidden="1" spans="1:8">
      <c r="A184" s="127"/>
      <c r="B184" s="15"/>
      <c r="C184" s="137" t="s">
        <v>111</v>
      </c>
      <c r="D184" s="452" t="s">
        <v>95</v>
      </c>
      <c r="E184" s="15" t="s">
        <v>90</v>
      </c>
      <c r="F184" s="15"/>
      <c r="G184" s="384"/>
      <c r="H184" s="384"/>
    </row>
    <row r="185" ht="12" hidden="1" spans="1:8">
      <c r="A185" s="127"/>
      <c r="B185" s="451" t="s">
        <v>115</v>
      </c>
      <c r="C185" s="137" t="s">
        <v>7</v>
      </c>
      <c r="D185" s="452"/>
      <c r="E185" s="15"/>
      <c r="F185" s="357"/>
      <c r="G185" s="384"/>
      <c r="H185" s="384"/>
    </row>
    <row r="186" ht="12" hidden="1" spans="1:8">
      <c r="A186" s="127"/>
      <c r="B186" s="15"/>
      <c r="C186" s="137" t="s">
        <v>15</v>
      </c>
      <c r="D186" s="452"/>
      <c r="E186" s="15"/>
      <c r="F186" s="15"/>
      <c r="G186" s="384"/>
      <c r="H186" s="384"/>
    </row>
    <row r="187" ht="12" hidden="1" spans="1:8">
      <c r="A187" s="127"/>
      <c r="B187" s="15"/>
      <c r="C187" s="137" t="s">
        <v>116</v>
      </c>
      <c r="D187" s="452"/>
      <c r="E187" s="15"/>
      <c r="F187" s="15"/>
      <c r="G187" s="384"/>
      <c r="H187" s="384"/>
    </row>
    <row r="188" ht="12" hidden="1" spans="1:8">
      <c r="A188" s="127"/>
      <c r="B188" s="15"/>
      <c r="C188" s="137" t="s">
        <v>46</v>
      </c>
      <c r="D188" s="452"/>
      <c r="E188" s="15"/>
      <c r="F188" s="15"/>
      <c r="G188" s="384"/>
      <c r="H188" s="384"/>
    </row>
    <row r="189" ht="12" hidden="1" spans="1:8">
      <c r="A189" s="127"/>
      <c r="B189" s="15"/>
      <c r="C189" s="137" t="s">
        <v>49</v>
      </c>
      <c r="D189" s="452"/>
      <c r="E189" s="15"/>
      <c r="F189" s="15"/>
      <c r="G189" s="384"/>
      <c r="H189" s="384"/>
    </row>
    <row r="190" ht="12" hidden="1" spans="1:8">
      <c r="A190" s="127"/>
      <c r="B190" s="451" t="s">
        <v>122</v>
      </c>
      <c r="C190" s="15" t="s">
        <v>97</v>
      </c>
      <c r="D190" s="15"/>
      <c r="E190" s="144"/>
      <c r="F190" s="455"/>
      <c r="G190" s="384"/>
      <c r="H190" s="384"/>
    </row>
    <row r="191" ht="12" hidden="1" spans="1:8">
      <c r="A191" s="127"/>
      <c r="B191" s="15"/>
      <c r="C191" s="15" t="s">
        <v>98</v>
      </c>
      <c r="D191" s="15" t="s">
        <v>87</v>
      </c>
      <c r="E191" s="144"/>
      <c r="F191" s="127"/>
      <c r="G191" s="384"/>
      <c r="H191" s="384"/>
    </row>
    <row r="192" ht="12" hidden="1" spans="1:8">
      <c r="A192" s="127"/>
      <c r="B192" s="15"/>
      <c r="C192" s="15" t="s">
        <v>7</v>
      </c>
      <c r="D192" s="15"/>
      <c r="E192" s="144"/>
      <c r="F192" s="127"/>
      <c r="G192" s="384"/>
      <c r="H192" s="384"/>
    </row>
    <row r="193" ht="12" hidden="1" spans="1:8">
      <c r="A193" s="456"/>
      <c r="B193" s="15"/>
      <c r="C193" s="15" t="s">
        <v>15</v>
      </c>
      <c r="D193" s="15" t="s">
        <v>87</v>
      </c>
      <c r="E193" s="144"/>
      <c r="F193" s="127"/>
      <c r="G193" s="384"/>
      <c r="H193" s="384"/>
    </row>
    <row r="194" ht="12" hidden="1" spans="1:8">
      <c r="A194" s="456"/>
      <c r="B194" s="15"/>
      <c r="C194" s="15" t="s">
        <v>119</v>
      </c>
      <c r="D194" s="15"/>
      <c r="E194" s="144"/>
      <c r="F194" s="127"/>
      <c r="G194" s="384"/>
      <c r="H194" s="384"/>
    </row>
    <row r="195" ht="12" hidden="1" spans="1:8">
      <c r="A195" s="456"/>
      <c r="B195" s="15"/>
      <c r="C195" s="15" t="s">
        <v>46</v>
      </c>
      <c r="D195" s="15" t="s">
        <v>89</v>
      </c>
      <c r="E195" s="144"/>
      <c r="F195" s="127"/>
      <c r="G195" s="384"/>
      <c r="H195" s="384"/>
    </row>
    <row r="196" ht="12" hidden="1" spans="1:8">
      <c r="A196" s="456"/>
      <c r="B196" s="15"/>
      <c r="C196" s="15" t="s">
        <v>49</v>
      </c>
      <c r="D196" s="15" t="s">
        <v>120</v>
      </c>
      <c r="E196" s="144"/>
      <c r="F196" s="127"/>
      <c r="G196" s="384"/>
      <c r="H196" s="384"/>
    </row>
    <row r="197" ht="12" hidden="1" spans="1:8">
      <c r="A197" s="456"/>
      <c r="B197" s="451" t="s">
        <v>124</v>
      </c>
      <c r="C197" s="15" t="s">
        <v>7</v>
      </c>
      <c r="D197" s="25"/>
      <c r="E197" s="144"/>
      <c r="F197" s="455"/>
      <c r="G197" s="384"/>
      <c r="H197" s="384"/>
    </row>
    <row r="198" ht="12" hidden="1" spans="1:8">
      <c r="A198" s="127"/>
      <c r="B198" s="15"/>
      <c r="C198" s="15" t="s">
        <v>15</v>
      </c>
      <c r="D198" s="15"/>
      <c r="E198" s="144"/>
      <c r="F198" s="127"/>
      <c r="G198" s="384"/>
      <c r="H198" s="384"/>
    </row>
    <row r="199" ht="12" hidden="1" spans="1:8">
      <c r="A199" s="127"/>
      <c r="B199" s="15"/>
      <c r="C199" s="16" t="s">
        <v>125</v>
      </c>
      <c r="D199" s="15" t="s">
        <v>126</v>
      </c>
      <c r="E199" s="144"/>
      <c r="F199" s="127"/>
      <c r="G199" s="384"/>
      <c r="H199" s="384"/>
    </row>
    <row r="200" ht="12" hidden="1" spans="1:8">
      <c r="A200" s="127"/>
      <c r="B200" s="15"/>
      <c r="C200" s="16" t="s">
        <v>125</v>
      </c>
      <c r="D200" s="15" t="s">
        <v>127</v>
      </c>
      <c r="E200" s="144"/>
      <c r="F200" s="127"/>
      <c r="G200" s="384"/>
      <c r="H200" s="384"/>
    </row>
    <row r="201" ht="12" hidden="1" spans="1:8">
      <c r="A201" s="127"/>
      <c r="B201" s="15"/>
      <c r="C201" s="16" t="s">
        <v>128</v>
      </c>
      <c r="D201" s="15"/>
      <c r="E201" s="144"/>
      <c r="F201" s="127"/>
      <c r="G201" s="384"/>
      <c r="H201" s="384"/>
    </row>
    <row r="202" ht="12" hidden="1" spans="1:8">
      <c r="A202" s="127"/>
      <c r="B202" s="15"/>
      <c r="C202" s="16" t="s">
        <v>129</v>
      </c>
      <c r="D202" s="15" t="s">
        <v>130</v>
      </c>
      <c r="E202" s="144"/>
      <c r="F202" s="127"/>
      <c r="G202" s="384"/>
      <c r="H202" s="384"/>
    </row>
    <row r="203" ht="12" hidden="1" spans="1:8">
      <c r="A203" s="457" t="s">
        <v>166</v>
      </c>
      <c r="B203" s="16" t="s">
        <v>6</v>
      </c>
      <c r="C203" s="447" t="s">
        <v>7</v>
      </c>
      <c r="D203" s="294" t="s">
        <v>8</v>
      </c>
      <c r="E203" s="144" t="s">
        <v>9</v>
      </c>
      <c r="F203" s="450" t="s">
        <v>164</v>
      </c>
      <c r="G203" s="384"/>
      <c r="H203" s="384"/>
    </row>
    <row r="204" ht="12" hidden="1" spans="1:8">
      <c r="A204" s="127"/>
      <c r="B204" s="15"/>
      <c r="C204" s="137" t="s">
        <v>7</v>
      </c>
      <c r="D204" s="452" t="s">
        <v>10</v>
      </c>
      <c r="E204" s="15" t="s">
        <v>11</v>
      </c>
      <c r="F204" s="448"/>
      <c r="G204" s="384"/>
      <c r="H204" s="384"/>
    </row>
    <row r="205" ht="12" hidden="1" spans="1:8">
      <c r="A205" s="127"/>
      <c r="B205" s="15"/>
      <c r="C205" s="137" t="s">
        <v>12</v>
      </c>
      <c r="D205" s="452"/>
      <c r="E205" s="15" t="s">
        <v>11</v>
      </c>
      <c r="F205" s="448"/>
      <c r="G205" s="384"/>
      <c r="H205" s="384"/>
    </row>
    <row r="206" ht="12" hidden="1" spans="1:8">
      <c r="A206" s="127"/>
      <c r="B206" s="15"/>
      <c r="C206" s="137" t="s">
        <v>13</v>
      </c>
      <c r="D206" s="452"/>
      <c r="E206" s="15" t="s">
        <v>14</v>
      </c>
      <c r="F206" s="448"/>
      <c r="G206" s="384"/>
      <c r="H206" s="384"/>
    </row>
    <row r="207" ht="12" hidden="1" spans="1:8">
      <c r="A207" s="127"/>
      <c r="B207" s="15"/>
      <c r="C207" s="137" t="s">
        <v>15</v>
      </c>
      <c r="D207" s="452"/>
      <c r="E207" s="15" t="s">
        <v>16</v>
      </c>
      <c r="F207" s="144"/>
      <c r="G207" s="384"/>
      <c r="H207" s="384"/>
    </row>
    <row r="208" ht="12" hidden="1" spans="1:8">
      <c r="A208" s="127"/>
      <c r="B208" s="16" t="s">
        <v>17</v>
      </c>
      <c r="C208" s="447" t="s">
        <v>7</v>
      </c>
      <c r="D208" s="452" t="s">
        <v>18</v>
      </c>
      <c r="E208" s="144" t="s">
        <v>19</v>
      </c>
      <c r="F208" s="353" t="s">
        <v>165</v>
      </c>
      <c r="G208" s="384"/>
      <c r="H208" s="384"/>
    </row>
    <row r="209" ht="12" hidden="1" spans="1:8">
      <c r="A209" s="127"/>
      <c r="B209" s="15"/>
      <c r="C209" s="137" t="s">
        <v>7</v>
      </c>
      <c r="D209" s="452" t="s">
        <v>18</v>
      </c>
      <c r="E209" s="15" t="s">
        <v>20</v>
      </c>
      <c r="F209" s="449"/>
      <c r="G209" s="384"/>
      <c r="H209" s="384"/>
    </row>
    <row r="210" ht="12" hidden="1" spans="1:8">
      <c r="A210" s="127"/>
      <c r="B210" s="15"/>
      <c r="C210" s="137" t="s">
        <v>12</v>
      </c>
      <c r="D210" s="452" t="s">
        <v>18</v>
      </c>
      <c r="E210" s="15" t="s">
        <v>20</v>
      </c>
      <c r="F210" s="449"/>
      <c r="G210" s="384"/>
      <c r="H210" s="384"/>
    </row>
    <row r="211" ht="12" hidden="1" spans="1:8">
      <c r="A211" s="127"/>
      <c r="B211" s="15"/>
      <c r="C211" s="137" t="s">
        <v>7</v>
      </c>
      <c r="D211" s="452" t="s">
        <v>21</v>
      </c>
      <c r="E211" s="15" t="s">
        <v>22</v>
      </c>
      <c r="F211" s="449"/>
      <c r="G211" s="384"/>
      <c r="H211" s="384"/>
    </row>
    <row r="212" ht="12" hidden="1" spans="1:8">
      <c r="A212" s="127"/>
      <c r="B212" s="15"/>
      <c r="C212" s="137" t="s">
        <v>7</v>
      </c>
      <c r="D212" s="452" t="s">
        <v>21</v>
      </c>
      <c r="E212" s="15" t="s">
        <v>24</v>
      </c>
      <c r="F212" s="449"/>
      <c r="G212" s="384"/>
      <c r="H212" s="384"/>
    </row>
    <row r="213" ht="12" hidden="1" spans="1:8">
      <c r="A213" s="127"/>
      <c r="B213" s="15"/>
      <c r="C213" s="137" t="s">
        <v>13</v>
      </c>
      <c r="D213" s="452"/>
      <c r="E213" s="15" t="s">
        <v>14</v>
      </c>
      <c r="F213" s="449"/>
      <c r="G213" s="384"/>
      <c r="H213" s="384"/>
    </row>
    <row r="214" ht="12" hidden="1" spans="1:8">
      <c r="A214" s="127"/>
      <c r="B214" s="15"/>
      <c r="C214" s="137" t="s">
        <v>15</v>
      </c>
      <c r="D214" s="452"/>
      <c r="E214" s="15" t="s">
        <v>16</v>
      </c>
      <c r="F214" s="447"/>
      <c r="G214" s="384"/>
      <c r="H214" s="384"/>
    </row>
    <row r="215" ht="12" hidden="1" spans="1:8">
      <c r="A215" s="127"/>
      <c r="B215" s="16" t="s">
        <v>45</v>
      </c>
      <c r="C215" s="137" t="s">
        <v>46</v>
      </c>
      <c r="D215" s="452"/>
      <c r="E215" s="15"/>
      <c r="F215" s="358"/>
      <c r="G215" s="384"/>
      <c r="H215" s="384"/>
    </row>
    <row r="216" ht="12" hidden="1" spans="1:8">
      <c r="A216" s="127"/>
      <c r="B216" s="15"/>
      <c r="C216" s="137" t="s">
        <v>47</v>
      </c>
      <c r="D216" s="452"/>
      <c r="E216" s="15"/>
      <c r="F216" s="15"/>
      <c r="G216" s="384"/>
      <c r="H216" s="384"/>
    </row>
    <row r="217" ht="12" hidden="1" spans="1:8">
      <c r="A217" s="127"/>
      <c r="B217" s="15"/>
      <c r="C217" s="137" t="s">
        <v>48</v>
      </c>
      <c r="D217" s="452"/>
      <c r="E217" s="15"/>
      <c r="F217" s="15"/>
      <c r="G217" s="384"/>
      <c r="H217" s="384"/>
    </row>
    <row r="218" ht="12" hidden="1" spans="1:8">
      <c r="A218" s="127"/>
      <c r="B218" s="15"/>
      <c r="C218" s="137" t="s">
        <v>49</v>
      </c>
      <c r="D218" s="452"/>
      <c r="E218" s="15"/>
      <c r="F218" s="15"/>
      <c r="G218" s="384"/>
      <c r="H218" s="384"/>
    </row>
    <row r="219" ht="12" hidden="1" spans="1:8">
      <c r="A219" s="127"/>
      <c r="B219" s="16" t="s">
        <v>82</v>
      </c>
      <c r="C219" s="137" t="s">
        <v>7</v>
      </c>
      <c r="D219" s="452"/>
      <c r="E219" s="15"/>
      <c r="F219" s="357"/>
      <c r="G219" s="384"/>
      <c r="H219" s="384"/>
    </row>
    <row r="220" ht="12" hidden="1" spans="1:8">
      <c r="A220" s="127"/>
      <c r="B220" s="15"/>
      <c r="C220" s="137" t="s">
        <v>15</v>
      </c>
      <c r="D220" s="452"/>
      <c r="E220" s="15"/>
      <c r="F220" s="15"/>
      <c r="G220" s="384"/>
      <c r="H220" s="384"/>
    </row>
    <row r="221" ht="12" hidden="1" spans="1:8">
      <c r="A221" s="127"/>
      <c r="B221" s="15"/>
      <c r="C221" s="137" t="s">
        <v>27</v>
      </c>
      <c r="D221" s="452"/>
      <c r="E221" s="15"/>
      <c r="F221" s="15"/>
      <c r="G221" s="384"/>
      <c r="H221" s="384"/>
    </row>
    <row r="222" ht="12" hidden="1" spans="1:8">
      <c r="A222" s="127"/>
      <c r="B222" s="15"/>
      <c r="C222" s="137" t="s">
        <v>30</v>
      </c>
      <c r="D222" s="452"/>
      <c r="E222" s="15"/>
      <c r="F222" s="15"/>
      <c r="G222" s="384"/>
      <c r="H222" s="384"/>
    </row>
    <row r="223" ht="12" hidden="1" spans="1:8">
      <c r="A223" s="127"/>
      <c r="B223" s="15"/>
      <c r="C223" s="137" t="s">
        <v>33</v>
      </c>
      <c r="D223" s="452"/>
      <c r="E223" s="15"/>
      <c r="F223" s="15"/>
      <c r="G223" s="384"/>
      <c r="H223" s="384"/>
    </row>
    <row r="224" ht="12" hidden="1" spans="1:8">
      <c r="A224" s="127"/>
      <c r="B224" s="15"/>
      <c r="C224" s="137" t="s">
        <v>36</v>
      </c>
      <c r="D224" s="452"/>
      <c r="E224" s="15"/>
      <c r="F224" s="15"/>
      <c r="G224" s="384"/>
      <c r="H224" s="384"/>
    </row>
    <row r="225" ht="12" hidden="1" spans="1:8">
      <c r="A225" s="127"/>
      <c r="B225" s="16" t="s">
        <v>84</v>
      </c>
      <c r="C225" s="137" t="s">
        <v>85</v>
      </c>
      <c r="D225" s="452"/>
      <c r="E225" s="15"/>
      <c r="F225" s="357"/>
      <c r="G225" s="384"/>
      <c r="H225" s="384"/>
    </row>
    <row r="226" ht="12" hidden="1" spans="1:8">
      <c r="A226" s="127"/>
      <c r="B226" s="15"/>
      <c r="C226" s="137" t="s">
        <v>86</v>
      </c>
      <c r="D226" s="452" t="s">
        <v>87</v>
      </c>
      <c r="E226" s="15"/>
      <c r="F226" s="15"/>
      <c r="G226" s="384"/>
      <c r="H226" s="384"/>
    </row>
    <row r="227" ht="12" hidden="1" spans="1:8">
      <c r="A227" s="127"/>
      <c r="B227" s="15"/>
      <c r="C227" s="137" t="s">
        <v>88</v>
      </c>
      <c r="D227" s="452" t="s">
        <v>89</v>
      </c>
      <c r="E227" s="15" t="s">
        <v>90</v>
      </c>
      <c r="F227" s="15"/>
      <c r="G227" s="384"/>
      <c r="H227" s="384"/>
    </row>
    <row r="228" ht="12" hidden="1" spans="1:8">
      <c r="A228" s="127"/>
      <c r="B228" s="15"/>
      <c r="C228" s="137" t="s">
        <v>91</v>
      </c>
      <c r="D228" s="452" t="s">
        <v>92</v>
      </c>
      <c r="E228" s="15" t="s">
        <v>90</v>
      </c>
      <c r="F228" s="15"/>
      <c r="G228" s="384"/>
      <c r="H228" s="384"/>
    </row>
    <row r="229" ht="12" hidden="1" spans="1:8">
      <c r="A229" s="127"/>
      <c r="B229" s="15"/>
      <c r="C229" s="137" t="s">
        <v>93</v>
      </c>
      <c r="D229" s="452" t="s">
        <v>94</v>
      </c>
      <c r="E229" s="15" t="s">
        <v>90</v>
      </c>
      <c r="F229" s="15"/>
      <c r="G229" s="384"/>
      <c r="H229" s="384"/>
    </row>
    <row r="230" ht="12" hidden="1" spans="1:8">
      <c r="A230" s="127"/>
      <c r="B230" s="15"/>
      <c r="C230" s="137" t="s">
        <v>93</v>
      </c>
      <c r="D230" s="452" t="s">
        <v>95</v>
      </c>
      <c r="E230" s="15" t="s">
        <v>90</v>
      </c>
      <c r="F230" s="15"/>
      <c r="G230" s="384"/>
      <c r="H230" s="384"/>
    </row>
    <row r="231" ht="12" hidden="1" spans="1:8">
      <c r="A231" s="127"/>
      <c r="B231" s="451" t="s">
        <v>96</v>
      </c>
      <c r="C231" s="137" t="s">
        <v>97</v>
      </c>
      <c r="D231" s="452"/>
      <c r="E231" s="15"/>
      <c r="F231" s="357"/>
      <c r="G231" s="384"/>
      <c r="H231" s="384"/>
    </row>
    <row r="232" ht="12" hidden="1" spans="1:8">
      <c r="A232" s="127"/>
      <c r="B232" s="15"/>
      <c r="C232" s="137" t="s">
        <v>98</v>
      </c>
      <c r="D232" s="452" t="s">
        <v>87</v>
      </c>
      <c r="E232" s="15" t="s">
        <v>99</v>
      </c>
      <c r="F232" s="15"/>
      <c r="G232" s="384"/>
      <c r="H232" s="384"/>
    </row>
    <row r="233" ht="12" hidden="1" spans="1:8">
      <c r="A233" s="127"/>
      <c r="B233" s="15"/>
      <c r="C233" s="137" t="s">
        <v>7</v>
      </c>
      <c r="D233" s="452" t="s">
        <v>89</v>
      </c>
      <c r="E233" s="15"/>
      <c r="F233" s="15"/>
      <c r="G233" s="384"/>
      <c r="H233" s="384"/>
    </row>
    <row r="234" ht="12" hidden="1" spans="1:8">
      <c r="A234" s="127"/>
      <c r="B234" s="15"/>
      <c r="C234" s="137" t="s">
        <v>100</v>
      </c>
      <c r="D234" s="452" t="s">
        <v>92</v>
      </c>
      <c r="E234" s="15"/>
      <c r="F234" s="15"/>
      <c r="G234" s="384"/>
      <c r="H234" s="384"/>
    </row>
    <row r="235" ht="12" hidden="1" spans="1:8">
      <c r="A235" s="127"/>
      <c r="B235" s="15"/>
      <c r="C235" s="137" t="s">
        <v>15</v>
      </c>
      <c r="D235" s="452" t="s">
        <v>94</v>
      </c>
      <c r="E235" s="15"/>
      <c r="F235" s="15"/>
      <c r="G235" s="384"/>
      <c r="H235" s="384"/>
    </row>
    <row r="236" ht="12" hidden="1" spans="1:8">
      <c r="A236" s="127"/>
      <c r="B236" s="15"/>
      <c r="C236" s="137" t="s">
        <v>15</v>
      </c>
      <c r="D236" s="452" t="s">
        <v>95</v>
      </c>
      <c r="E236" s="15"/>
      <c r="F236" s="15"/>
      <c r="G236" s="384"/>
      <c r="H236" s="384"/>
    </row>
    <row r="237" ht="12" hidden="1" spans="1:8">
      <c r="A237" s="127"/>
      <c r="B237" s="451" t="s">
        <v>102</v>
      </c>
      <c r="C237" s="137" t="s">
        <v>97</v>
      </c>
      <c r="D237" s="452"/>
      <c r="E237" s="15"/>
      <c r="F237" s="357"/>
      <c r="G237" s="384"/>
      <c r="H237" s="384"/>
    </row>
    <row r="238" ht="12" hidden="1" spans="1:8">
      <c r="A238" s="127"/>
      <c r="B238" s="15"/>
      <c r="C238" s="137" t="s">
        <v>98</v>
      </c>
      <c r="D238" s="452" t="s">
        <v>87</v>
      </c>
      <c r="E238" s="15"/>
      <c r="F238" s="15"/>
      <c r="G238" s="384"/>
      <c r="H238" s="384"/>
    </row>
    <row r="239" ht="12" hidden="1" spans="1:8">
      <c r="A239" s="127"/>
      <c r="B239" s="15"/>
      <c r="C239" s="137" t="s">
        <v>88</v>
      </c>
      <c r="D239" s="452" t="s">
        <v>89</v>
      </c>
      <c r="E239" s="15" t="s">
        <v>90</v>
      </c>
      <c r="F239" s="15"/>
      <c r="G239" s="384"/>
      <c r="H239" s="384"/>
    </row>
    <row r="240" ht="12" hidden="1" spans="1:8">
      <c r="A240" s="127"/>
      <c r="B240" s="15"/>
      <c r="C240" s="137" t="s">
        <v>91</v>
      </c>
      <c r="D240" s="452" t="s">
        <v>92</v>
      </c>
      <c r="E240" s="15" t="s">
        <v>90</v>
      </c>
      <c r="F240" s="15"/>
      <c r="G240" s="384"/>
      <c r="H240" s="384"/>
    </row>
    <row r="241" ht="12" hidden="1" spans="1:8">
      <c r="A241" s="127"/>
      <c r="B241" s="15"/>
      <c r="C241" s="137" t="s">
        <v>93</v>
      </c>
      <c r="D241" s="452" t="s">
        <v>94</v>
      </c>
      <c r="E241" s="15" t="s">
        <v>90</v>
      </c>
      <c r="F241" s="15"/>
      <c r="G241" s="384"/>
      <c r="H241" s="384"/>
    </row>
    <row r="242" ht="12" hidden="1" spans="1:8">
      <c r="A242" s="127"/>
      <c r="B242" s="15"/>
      <c r="C242" s="137" t="s">
        <v>93</v>
      </c>
      <c r="D242" s="452" t="s">
        <v>95</v>
      </c>
      <c r="E242" s="15" t="s">
        <v>90</v>
      </c>
      <c r="F242" s="15"/>
      <c r="G242" s="384"/>
      <c r="H242" s="384"/>
    </row>
    <row r="243" ht="51.75" hidden="1" customHeight="1" spans="1:8">
      <c r="A243" s="127"/>
      <c r="B243" s="451" t="s">
        <v>104</v>
      </c>
      <c r="C243" s="137" t="s">
        <v>39</v>
      </c>
      <c r="D243" s="454" t="s">
        <v>40</v>
      </c>
      <c r="E243" s="15"/>
      <c r="F243" s="357"/>
      <c r="G243" s="384"/>
      <c r="H243" s="384"/>
    </row>
    <row r="244" ht="12" hidden="1" spans="1:8">
      <c r="A244" s="127"/>
      <c r="B244" s="15"/>
      <c r="C244" s="137" t="s">
        <v>41</v>
      </c>
      <c r="D244" s="452" t="s">
        <v>87</v>
      </c>
      <c r="E244" s="15"/>
      <c r="F244" s="15"/>
      <c r="G244" s="384"/>
      <c r="H244" s="384"/>
    </row>
    <row r="245" ht="12" hidden="1" spans="1:8">
      <c r="A245" s="127"/>
      <c r="B245" s="15"/>
      <c r="C245" s="137" t="s">
        <v>88</v>
      </c>
      <c r="D245" s="452" t="s">
        <v>89</v>
      </c>
      <c r="E245" s="15" t="s">
        <v>90</v>
      </c>
      <c r="F245" s="15"/>
      <c r="G245" s="384"/>
      <c r="H245" s="384"/>
    </row>
    <row r="246" ht="12" hidden="1" spans="1:8">
      <c r="A246" s="127"/>
      <c r="B246" s="15"/>
      <c r="C246" s="137" t="s">
        <v>91</v>
      </c>
      <c r="D246" s="452" t="s">
        <v>92</v>
      </c>
      <c r="E246" s="15" t="s">
        <v>90</v>
      </c>
      <c r="F246" s="15"/>
      <c r="G246" s="384"/>
      <c r="H246" s="384"/>
    </row>
    <row r="247" ht="12" hidden="1" spans="1:8">
      <c r="A247" s="127"/>
      <c r="B247" s="15"/>
      <c r="C247" s="137" t="s">
        <v>93</v>
      </c>
      <c r="D247" s="452" t="s">
        <v>94</v>
      </c>
      <c r="E247" s="15" t="s">
        <v>90</v>
      </c>
      <c r="F247" s="15"/>
      <c r="G247" s="384"/>
      <c r="H247" s="384"/>
    </row>
    <row r="248" ht="12" hidden="1" spans="1:8">
      <c r="A248" s="127"/>
      <c r="B248" s="15"/>
      <c r="C248" s="137" t="s">
        <v>93</v>
      </c>
      <c r="D248" s="452" t="s">
        <v>95</v>
      </c>
      <c r="E248" s="15" t="s">
        <v>90</v>
      </c>
      <c r="F248" s="15"/>
      <c r="G248" s="384"/>
      <c r="H248" s="384"/>
    </row>
    <row r="249" ht="12" hidden="1" spans="1:8">
      <c r="A249" s="127"/>
      <c r="B249" s="16" t="s">
        <v>106</v>
      </c>
      <c r="C249" s="137" t="s">
        <v>46</v>
      </c>
      <c r="D249" s="452"/>
      <c r="E249" s="15"/>
      <c r="F249" s="357"/>
      <c r="G249" s="384"/>
      <c r="H249" s="384"/>
    </row>
    <row r="250" ht="12" hidden="1" spans="1:8">
      <c r="A250" s="127"/>
      <c r="B250" s="15"/>
      <c r="C250" s="137" t="s">
        <v>49</v>
      </c>
      <c r="D250" s="452"/>
      <c r="E250" s="15"/>
      <c r="F250" s="15"/>
      <c r="G250" s="384"/>
      <c r="H250" s="384"/>
    </row>
    <row r="251" ht="12" hidden="1" spans="1:8">
      <c r="A251" s="127"/>
      <c r="B251" s="15"/>
      <c r="C251" s="137" t="s">
        <v>58</v>
      </c>
      <c r="D251" s="452"/>
      <c r="E251" s="15"/>
      <c r="F251" s="15"/>
      <c r="G251" s="384"/>
      <c r="H251" s="384"/>
    </row>
    <row r="252" ht="12" hidden="1" spans="1:8">
      <c r="A252" s="127"/>
      <c r="B252" s="15"/>
      <c r="C252" s="137" t="s">
        <v>61</v>
      </c>
      <c r="D252" s="452"/>
      <c r="E252" s="15"/>
      <c r="F252" s="15"/>
      <c r="G252" s="384"/>
      <c r="H252" s="384"/>
    </row>
    <row r="253" ht="12" hidden="1" spans="1:8">
      <c r="A253" s="127"/>
      <c r="B253" s="15"/>
      <c r="C253" s="137" t="s">
        <v>64</v>
      </c>
      <c r="D253" s="452"/>
      <c r="E253" s="15"/>
      <c r="F253" s="15"/>
      <c r="G253" s="384"/>
      <c r="H253" s="384"/>
    </row>
    <row r="254" ht="12" hidden="1" spans="1:8">
      <c r="A254" s="127"/>
      <c r="B254" s="15"/>
      <c r="C254" s="137" t="s">
        <v>67</v>
      </c>
      <c r="D254" s="452"/>
      <c r="E254" s="15"/>
      <c r="F254" s="15"/>
      <c r="G254" s="384"/>
      <c r="H254" s="384"/>
    </row>
    <row r="255" ht="12" hidden="1" spans="1:8">
      <c r="A255" s="127"/>
      <c r="B255" s="451" t="s">
        <v>108</v>
      </c>
      <c r="C255" s="137" t="s">
        <v>97</v>
      </c>
      <c r="D255" s="452"/>
      <c r="E255" s="15"/>
      <c r="F255" s="357"/>
      <c r="G255" s="384"/>
      <c r="H255" s="384"/>
    </row>
    <row r="256" ht="12" hidden="1" spans="1:8">
      <c r="A256" s="127"/>
      <c r="B256" s="15"/>
      <c r="C256" s="137" t="s">
        <v>98</v>
      </c>
      <c r="D256" s="452" t="s">
        <v>87</v>
      </c>
      <c r="E256" s="15"/>
      <c r="F256" s="15"/>
      <c r="G256" s="384"/>
      <c r="H256" s="384"/>
    </row>
    <row r="257" ht="12" hidden="1" spans="1:8">
      <c r="A257" s="127"/>
      <c r="B257" s="15"/>
      <c r="C257" s="137" t="s">
        <v>109</v>
      </c>
      <c r="D257" s="452" t="s">
        <v>89</v>
      </c>
      <c r="E257" s="15" t="s">
        <v>90</v>
      </c>
      <c r="F257" s="15"/>
      <c r="G257" s="384"/>
      <c r="H257" s="384"/>
    </row>
    <row r="258" ht="12" hidden="1" spans="1:8">
      <c r="A258" s="127"/>
      <c r="B258" s="15"/>
      <c r="C258" s="137" t="s">
        <v>110</v>
      </c>
      <c r="D258" s="452" t="s">
        <v>89</v>
      </c>
      <c r="E258" s="15" t="s">
        <v>90</v>
      </c>
      <c r="F258" s="15"/>
      <c r="G258" s="384"/>
      <c r="H258" s="384"/>
    </row>
    <row r="259" ht="12" hidden="1" spans="1:8">
      <c r="A259" s="127"/>
      <c r="B259" s="15"/>
      <c r="C259" s="137" t="s">
        <v>111</v>
      </c>
      <c r="D259" s="452" t="s">
        <v>94</v>
      </c>
      <c r="E259" s="15" t="s">
        <v>90</v>
      </c>
      <c r="F259" s="15"/>
      <c r="G259" s="384"/>
      <c r="H259" s="384"/>
    </row>
    <row r="260" ht="12" hidden="1" spans="1:8">
      <c r="A260" s="127"/>
      <c r="B260" s="15"/>
      <c r="C260" s="137" t="s">
        <v>111</v>
      </c>
      <c r="D260" s="452" t="s">
        <v>95</v>
      </c>
      <c r="E260" s="15" t="s">
        <v>90</v>
      </c>
      <c r="F260" s="15"/>
      <c r="G260" s="384"/>
      <c r="H260" s="384"/>
    </row>
    <row r="261" ht="51.75" hidden="1" customHeight="1" spans="1:8">
      <c r="A261" s="127"/>
      <c r="B261" s="451" t="s">
        <v>113</v>
      </c>
      <c r="C261" s="137" t="s">
        <v>39</v>
      </c>
      <c r="D261" s="454" t="s">
        <v>40</v>
      </c>
      <c r="E261" s="15"/>
      <c r="F261" s="357"/>
      <c r="G261" s="384"/>
      <c r="H261" s="384"/>
    </row>
    <row r="262" ht="12" hidden="1" spans="1:8">
      <c r="A262" s="127"/>
      <c r="B262" s="15"/>
      <c r="C262" s="137" t="s">
        <v>41</v>
      </c>
      <c r="D262" s="452" t="s">
        <v>87</v>
      </c>
      <c r="E262" s="15"/>
      <c r="F262" s="15"/>
      <c r="G262" s="384"/>
      <c r="H262" s="384"/>
    </row>
    <row r="263" ht="12" hidden="1" spans="1:8">
      <c r="A263" s="127"/>
      <c r="B263" s="15"/>
      <c r="C263" s="137" t="s">
        <v>109</v>
      </c>
      <c r="D263" s="452" t="s">
        <v>89</v>
      </c>
      <c r="E263" s="15" t="s">
        <v>90</v>
      </c>
      <c r="F263" s="15"/>
      <c r="G263" s="384"/>
      <c r="H263" s="384"/>
    </row>
    <row r="264" ht="12" hidden="1" spans="1:8">
      <c r="A264" s="127"/>
      <c r="B264" s="15"/>
      <c r="C264" s="137" t="s">
        <v>110</v>
      </c>
      <c r="D264" s="452" t="s">
        <v>92</v>
      </c>
      <c r="E264" s="15" t="s">
        <v>90</v>
      </c>
      <c r="F264" s="15"/>
      <c r="G264" s="384"/>
      <c r="H264" s="384"/>
    </row>
    <row r="265" ht="12" hidden="1" spans="1:8">
      <c r="A265" s="127"/>
      <c r="B265" s="15"/>
      <c r="C265" s="137" t="s">
        <v>111</v>
      </c>
      <c r="D265" s="452" t="s">
        <v>94</v>
      </c>
      <c r="E265" s="15" t="s">
        <v>90</v>
      </c>
      <c r="F265" s="15"/>
      <c r="G265" s="384"/>
      <c r="H265" s="384"/>
    </row>
    <row r="266" ht="12" hidden="1" spans="1:8">
      <c r="A266" s="127"/>
      <c r="B266" s="15"/>
      <c r="C266" s="137" t="s">
        <v>111</v>
      </c>
      <c r="D266" s="452" t="s">
        <v>95</v>
      </c>
      <c r="E266" s="15" t="s">
        <v>90</v>
      </c>
      <c r="F266" s="15"/>
      <c r="G266" s="384"/>
      <c r="H266" s="384"/>
    </row>
    <row r="267" ht="12" hidden="1" spans="1:8">
      <c r="A267" s="127"/>
      <c r="B267" s="451" t="s">
        <v>115</v>
      </c>
      <c r="C267" s="137" t="s">
        <v>7</v>
      </c>
      <c r="D267" s="452"/>
      <c r="E267" s="15"/>
      <c r="F267" s="357"/>
      <c r="G267" s="384"/>
      <c r="H267" s="384"/>
    </row>
    <row r="268" ht="12" hidden="1" spans="1:8">
      <c r="A268" s="127"/>
      <c r="B268" s="15"/>
      <c r="C268" s="137" t="s">
        <v>15</v>
      </c>
      <c r="D268" s="452"/>
      <c r="E268" s="15"/>
      <c r="F268" s="15"/>
      <c r="G268" s="384"/>
      <c r="H268" s="384"/>
    </row>
    <row r="269" ht="12" hidden="1" spans="1:8">
      <c r="A269" s="127"/>
      <c r="B269" s="15"/>
      <c r="C269" s="137" t="s">
        <v>116</v>
      </c>
      <c r="D269" s="452"/>
      <c r="E269" s="15"/>
      <c r="F269" s="15"/>
      <c r="G269" s="384"/>
      <c r="H269" s="384"/>
    </row>
    <row r="270" ht="12" hidden="1" spans="1:8">
      <c r="A270" s="127"/>
      <c r="B270" s="15"/>
      <c r="C270" s="137" t="s">
        <v>46</v>
      </c>
      <c r="D270" s="452"/>
      <c r="E270" s="15"/>
      <c r="F270" s="15"/>
      <c r="G270" s="384"/>
      <c r="H270" s="384"/>
    </row>
    <row r="271" ht="12" hidden="1" spans="1:8">
      <c r="A271" s="127"/>
      <c r="B271" s="15"/>
      <c r="C271" s="137" t="s">
        <v>49</v>
      </c>
      <c r="D271" s="452"/>
      <c r="E271" s="15"/>
      <c r="F271" s="15"/>
      <c r="G271" s="384"/>
      <c r="H271" s="384"/>
    </row>
    <row r="272" ht="12" hidden="1" spans="1:8">
      <c r="A272" s="458"/>
      <c r="B272" s="451" t="s">
        <v>118</v>
      </c>
      <c r="C272" s="15" t="s">
        <v>7</v>
      </c>
      <c r="D272" s="15"/>
      <c r="E272" s="15"/>
      <c r="F272" s="455"/>
      <c r="G272" s="384"/>
      <c r="H272" s="384"/>
    </row>
    <row r="273" ht="12" hidden="1" spans="1:8">
      <c r="A273" s="458"/>
      <c r="B273" s="15"/>
      <c r="C273" s="15" t="s">
        <v>15</v>
      </c>
      <c r="D273" s="15" t="s">
        <v>87</v>
      </c>
      <c r="E273" s="15"/>
      <c r="F273" s="127"/>
      <c r="G273" s="384"/>
      <c r="H273" s="384"/>
    </row>
    <row r="274" ht="12" hidden="1" spans="1:8">
      <c r="A274" s="458"/>
      <c r="B274" s="15"/>
      <c r="C274" s="15" t="s">
        <v>119</v>
      </c>
      <c r="D274" s="15"/>
      <c r="E274" s="15"/>
      <c r="F274" s="127"/>
      <c r="G274" s="384"/>
      <c r="H274" s="384"/>
    </row>
    <row r="275" ht="12" hidden="1" spans="1:8">
      <c r="A275" s="458"/>
      <c r="B275" s="15"/>
      <c r="C275" s="15" t="s">
        <v>46</v>
      </c>
      <c r="D275" s="15" t="s">
        <v>89</v>
      </c>
      <c r="E275" s="15"/>
      <c r="F275" s="127"/>
      <c r="G275" s="384"/>
      <c r="H275" s="384"/>
    </row>
    <row r="276" ht="12" hidden="1" spans="1:8">
      <c r="A276" s="458"/>
      <c r="B276" s="15"/>
      <c r="C276" s="15" t="s">
        <v>49</v>
      </c>
      <c r="D276" s="15" t="s">
        <v>120</v>
      </c>
      <c r="E276" s="15"/>
      <c r="F276" s="103"/>
      <c r="G276" s="384"/>
      <c r="H276" s="384"/>
    </row>
    <row r="277" ht="12" hidden="1" spans="1:8">
      <c r="A277" s="458"/>
      <c r="B277" s="451" t="s">
        <v>122</v>
      </c>
      <c r="C277" s="15" t="s">
        <v>97</v>
      </c>
      <c r="D277" s="15"/>
      <c r="E277" s="15"/>
      <c r="F277" s="455"/>
      <c r="G277" s="384"/>
      <c r="H277" s="384"/>
    </row>
    <row r="278" ht="12" hidden="1" spans="1:8">
      <c r="A278" s="458"/>
      <c r="B278" s="15"/>
      <c r="C278" s="15" t="s">
        <v>98</v>
      </c>
      <c r="D278" s="15" t="s">
        <v>87</v>
      </c>
      <c r="E278" s="15"/>
      <c r="F278" s="127"/>
      <c r="G278" s="384"/>
      <c r="H278" s="384"/>
    </row>
    <row r="279" ht="12" hidden="1" spans="1:8">
      <c r="A279" s="458"/>
      <c r="B279" s="15"/>
      <c r="C279" s="15" t="s">
        <v>7</v>
      </c>
      <c r="D279" s="15"/>
      <c r="E279" s="15"/>
      <c r="F279" s="127"/>
      <c r="G279" s="384"/>
      <c r="H279" s="384"/>
    </row>
    <row r="280" ht="12" hidden="1" spans="1:8">
      <c r="A280" s="458"/>
      <c r="B280" s="15"/>
      <c r="C280" s="15" t="s">
        <v>15</v>
      </c>
      <c r="D280" s="15" t="s">
        <v>87</v>
      </c>
      <c r="E280" s="15"/>
      <c r="F280" s="127"/>
      <c r="G280" s="384"/>
      <c r="H280" s="384"/>
    </row>
    <row r="281" ht="12" hidden="1" spans="1:8">
      <c r="A281" s="458"/>
      <c r="B281" s="15"/>
      <c r="C281" s="15" t="s">
        <v>119</v>
      </c>
      <c r="D281" s="15"/>
      <c r="E281" s="15"/>
      <c r="F281" s="127"/>
      <c r="G281" s="384"/>
      <c r="H281" s="384"/>
    </row>
    <row r="282" ht="12" hidden="1" spans="1:8">
      <c r="A282" s="458"/>
      <c r="B282" s="15"/>
      <c r="C282" s="15" t="s">
        <v>46</v>
      </c>
      <c r="D282" s="15" t="s">
        <v>89</v>
      </c>
      <c r="E282" s="15"/>
      <c r="F282" s="127"/>
      <c r="G282" s="384"/>
      <c r="H282" s="384"/>
    </row>
    <row r="283" ht="12" hidden="1" spans="1:8">
      <c r="A283" s="458"/>
      <c r="B283" s="15"/>
      <c r="C283" s="15" t="s">
        <v>49</v>
      </c>
      <c r="D283" s="15" t="s">
        <v>120</v>
      </c>
      <c r="E283" s="15"/>
      <c r="F283" s="103"/>
      <c r="G283" s="384"/>
      <c r="H283" s="384"/>
    </row>
    <row r="284" ht="12" hidden="1" spans="1:8">
      <c r="A284" s="458"/>
      <c r="B284" s="451" t="s">
        <v>124</v>
      </c>
      <c r="C284" s="15" t="s">
        <v>7</v>
      </c>
      <c r="D284" s="25"/>
      <c r="E284" s="15"/>
      <c r="F284" s="455"/>
      <c r="G284" s="384"/>
      <c r="H284" s="384"/>
    </row>
    <row r="285" ht="12" hidden="1" spans="1:8">
      <c r="A285" s="458"/>
      <c r="B285" s="15"/>
      <c r="C285" s="15" t="s">
        <v>15</v>
      </c>
      <c r="D285" s="15"/>
      <c r="E285" s="15"/>
      <c r="F285" s="127"/>
      <c r="G285" s="384"/>
      <c r="H285" s="384"/>
    </row>
    <row r="286" ht="12" hidden="1" spans="1:8">
      <c r="A286" s="458"/>
      <c r="B286" s="15"/>
      <c r="C286" s="16" t="s">
        <v>125</v>
      </c>
      <c r="D286" s="15" t="s">
        <v>126</v>
      </c>
      <c r="E286" s="15"/>
      <c r="F286" s="127"/>
      <c r="G286" s="384"/>
      <c r="H286" s="384"/>
    </row>
    <row r="287" ht="12" hidden="1" spans="1:8">
      <c r="A287" s="458"/>
      <c r="B287" s="15"/>
      <c r="C287" s="16" t="s">
        <v>125</v>
      </c>
      <c r="D287" s="15" t="s">
        <v>127</v>
      </c>
      <c r="E287" s="15"/>
      <c r="F287" s="127"/>
      <c r="G287" s="384"/>
      <c r="H287" s="384"/>
    </row>
    <row r="288" ht="12" hidden="1" spans="1:8">
      <c r="A288" s="458"/>
      <c r="B288" s="15"/>
      <c r="C288" s="16" t="s">
        <v>128</v>
      </c>
      <c r="D288" s="15"/>
      <c r="E288" s="15"/>
      <c r="F288" s="127"/>
      <c r="G288" s="384"/>
      <c r="H288" s="384"/>
    </row>
    <row r="289" ht="12" hidden="1" spans="1:8">
      <c r="A289" s="458"/>
      <c r="B289" s="15"/>
      <c r="C289" s="16" t="s">
        <v>129</v>
      </c>
      <c r="D289" s="15" t="s">
        <v>130</v>
      </c>
      <c r="E289" s="15"/>
      <c r="F289" s="103"/>
      <c r="G289" s="384"/>
      <c r="H289" s="384"/>
    </row>
    <row r="290" ht="12" hidden="1" spans="1:6">
      <c r="A290" s="457" t="s">
        <v>167</v>
      </c>
      <c r="B290" s="16" t="s">
        <v>26</v>
      </c>
      <c r="C290" s="137" t="s">
        <v>27</v>
      </c>
      <c r="D290" s="452"/>
      <c r="E290" s="15"/>
      <c r="F290" s="459"/>
    </row>
    <row r="291" ht="12" hidden="1" spans="1:6">
      <c r="A291" s="127"/>
      <c r="B291" s="15"/>
      <c r="C291" s="137" t="s">
        <v>28</v>
      </c>
      <c r="D291" s="452"/>
      <c r="E291" s="15"/>
      <c r="F291" s="13"/>
    </row>
    <row r="292" ht="12" hidden="1" spans="1:6">
      <c r="A292" s="127"/>
      <c r="B292" s="15"/>
      <c r="C292" s="137" t="s">
        <v>29</v>
      </c>
      <c r="D292" s="452"/>
      <c r="E292" s="15"/>
      <c r="F292" s="13"/>
    </row>
    <row r="293" ht="12" hidden="1" spans="1:6">
      <c r="A293" s="127"/>
      <c r="B293" s="15"/>
      <c r="C293" s="137" t="s">
        <v>30</v>
      </c>
      <c r="D293" s="452"/>
      <c r="E293" s="15"/>
      <c r="F293" s="13"/>
    </row>
    <row r="294" ht="12" hidden="1" spans="1:6">
      <c r="A294" s="127"/>
      <c r="B294" s="16" t="s">
        <v>32</v>
      </c>
      <c r="C294" s="137" t="s">
        <v>33</v>
      </c>
      <c r="D294" s="452"/>
      <c r="E294" s="15"/>
      <c r="F294" s="459"/>
    </row>
    <row r="295" ht="12" hidden="1" spans="1:6">
      <c r="A295" s="127"/>
      <c r="B295" s="15"/>
      <c r="C295" s="137" t="s">
        <v>34</v>
      </c>
      <c r="D295" s="452"/>
      <c r="E295" s="15"/>
      <c r="F295" s="13"/>
    </row>
    <row r="296" ht="12" hidden="1" spans="1:6">
      <c r="A296" s="127"/>
      <c r="B296" s="15"/>
      <c r="C296" s="137" t="s">
        <v>35</v>
      </c>
      <c r="D296" s="452"/>
      <c r="E296" s="15"/>
      <c r="F296" s="13"/>
    </row>
    <row r="297" ht="12" hidden="1" spans="1:6">
      <c r="A297" s="127"/>
      <c r="B297" s="15"/>
      <c r="C297" s="137" t="s">
        <v>36</v>
      </c>
      <c r="D297" s="452"/>
      <c r="E297" s="15"/>
      <c r="F297" s="13"/>
    </row>
    <row r="298" ht="12" hidden="1" spans="1:6">
      <c r="A298" s="127"/>
      <c r="B298" s="16" t="s">
        <v>57</v>
      </c>
      <c r="C298" s="137" t="s">
        <v>58</v>
      </c>
      <c r="D298" s="452"/>
      <c r="E298" s="15"/>
      <c r="F298" s="459"/>
    </row>
    <row r="299" ht="12" hidden="1" spans="1:6">
      <c r="A299" s="127"/>
      <c r="B299" s="15"/>
      <c r="C299" s="137" t="s">
        <v>59</v>
      </c>
      <c r="D299" s="452"/>
      <c r="E299" s="15"/>
      <c r="F299" s="13"/>
    </row>
    <row r="300" ht="12" hidden="1" spans="1:6">
      <c r="A300" s="127"/>
      <c r="B300" s="15"/>
      <c r="C300" s="137" t="s">
        <v>60</v>
      </c>
      <c r="D300" s="452"/>
      <c r="E300" s="15"/>
      <c r="F300" s="13"/>
    </row>
    <row r="301" ht="12" hidden="1" spans="1:6">
      <c r="A301" s="127"/>
      <c r="B301" s="15"/>
      <c r="C301" s="137" t="s">
        <v>61</v>
      </c>
      <c r="D301" s="452"/>
      <c r="E301" s="15"/>
      <c r="F301" s="13"/>
    </row>
    <row r="302" ht="12" hidden="1" spans="1:6">
      <c r="A302" s="127"/>
      <c r="B302" s="16" t="s">
        <v>63</v>
      </c>
      <c r="C302" s="137" t="s">
        <v>64</v>
      </c>
      <c r="D302" s="452"/>
      <c r="E302" s="15"/>
      <c r="F302" s="459"/>
    </row>
    <row r="303" ht="12" hidden="1" spans="1:6">
      <c r="A303" s="127"/>
      <c r="B303" s="15"/>
      <c r="C303" s="137" t="s">
        <v>65</v>
      </c>
      <c r="D303" s="452"/>
      <c r="E303" s="15"/>
      <c r="F303" s="13"/>
    </row>
    <row r="304" ht="12" hidden="1" spans="1:6">
      <c r="A304" s="127"/>
      <c r="B304" s="15"/>
      <c r="C304" s="137" t="s">
        <v>66</v>
      </c>
      <c r="D304" s="452"/>
      <c r="E304" s="15"/>
      <c r="F304" s="13"/>
    </row>
    <row r="305" ht="12" hidden="1" spans="1:6">
      <c r="A305" s="127"/>
      <c r="B305" s="15"/>
      <c r="C305" s="137" t="s">
        <v>67</v>
      </c>
      <c r="D305" s="452"/>
      <c r="E305" s="15"/>
      <c r="F305" s="13"/>
    </row>
    <row r="306" ht="12" hidden="1" spans="1:6">
      <c r="A306" s="127"/>
      <c r="B306" s="16" t="s">
        <v>82</v>
      </c>
      <c r="C306" s="137" t="s">
        <v>7</v>
      </c>
      <c r="D306" s="452"/>
      <c r="E306" s="15"/>
      <c r="F306" s="357"/>
    </row>
    <row r="307" ht="12" hidden="1" spans="1:6">
      <c r="A307" s="127"/>
      <c r="B307" s="15"/>
      <c r="C307" s="137" t="s">
        <v>15</v>
      </c>
      <c r="D307" s="452"/>
      <c r="E307" s="15"/>
      <c r="F307" s="13"/>
    </row>
    <row r="308" ht="12" hidden="1" spans="1:6">
      <c r="A308" s="127"/>
      <c r="B308" s="15"/>
      <c r="C308" s="137" t="s">
        <v>27</v>
      </c>
      <c r="D308" s="452"/>
      <c r="E308" s="15"/>
      <c r="F308" s="13"/>
    </row>
    <row r="309" ht="12" hidden="1" spans="1:6">
      <c r="A309" s="127"/>
      <c r="B309" s="15"/>
      <c r="C309" s="137" t="s">
        <v>30</v>
      </c>
      <c r="D309" s="452"/>
      <c r="E309" s="15"/>
      <c r="F309" s="13"/>
    </row>
    <row r="310" ht="12" hidden="1" spans="1:6">
      <c r="A310" s="127"/>
      <c r="B310" s="15"/>
      <c r="C310" s="137" t="s">
        <v>33</v>
      </c>
      <c r="D310" s="452"/>
      <c r="E310" s="15"/>
      <c r="F310" s="13"/>
    </row>
    <row r="311" ht="12" hidden="1" spans="1:6">
      <c r="A311" s="127"/>
      <c r="B311" s="15"/>
      <c r="C311" s="137" t="s">
        <v>36</v>
      </c>
      <c r="D311" s="452"/>
      <c r="E311" s="15"/>
      <c r="F311" s="13"/>
    </row>
    <row r="312" ht="12" hidden="1" spans="1:6">
      <c r="A312" s="127"/>
      <c r="B312" s="16" t="s">
        <v>84</v>
      </c>
      <c r="C312" s="137" t="s">
        <v>85</v>
      </c>
      <c r="D312" s="452"/>
      <c r="E312" s="15"/>
      <c r="F312" s="357"/>
    </row>
    <row r="313" ht="12" hidden="1" spans="1:6">
      <c r="A313" s="127"/>
      <c r="B313" s="15"/>
      <c r="C313" s="137" t="s">
        <v>86</v>
      </c>
      <c r="D313" s="452" t="s">
        <v>87</v>
      </c>
      <c r="E313" s="15"/>
      <c r="F313" s="13"/>
    </row>
    <row r="314" ht="12" hidden="1" spans="1:6">
      <c r="A314" s="127"/>
      <c r="B314" s="15"/>
      <c r="C314" s="137" t="s">
        <v>88</v>
      </c>
      <c r="D314" s="452" t="s">
        <v>89</v>
      </c>
      <c r="E314" s="15" t="s">
        <v>90</v>
      </c>
      <c r="F314" s="13"/>
    </row>
    <row r="315" ht="12" hidden="1" spans="1:6">
      <c r="A315" s="127"/>
      <c r="B315" s="15"/>
      <c r="C315" s="137" t="s">
        <v>91</v>
      </c>
      <c r="D315" s="452" t="s">
        <v>92</v>
      </c>
      <c r="E315" s="15" t="s">
        <v>90</v>
      </c>
      <c r="F315" s="13"/>
    </row>
    <row r="316" ht="12" hidden="1" spans="1:6">
      <c r="A316" s="127"/>
      <c r="B316" s="15"/>
      <c r="C316" s="137" t="s">
        <v>93</v>
      </c>
      <c r="D316" s="452" t="s">
        <v>94</v>
      </c>
      <c r="E316" s="15" t="s">
        <v>90</v>
      </c>
      <c r="F316" s="13"/>
    </row>
    <row r="317" ht="12" hidden="1" spans="1:6">
      <c r="A317" s="127"/>
      <c r="B317" s="15"/>
      <c r="C317" s="137" t="s">
        <v>93</v>
      </c>
      <c r="D317" s="452" t="s">
        <v>95</v>
      </c>
      <c r="E317" s="15" t="s">
        <v>90</v>
      </c>
      <c r="F317" s="13"/>
    </row>
    <row r="318" ht="12" hidden="1" spans="1:6">
      <c r="A318" s="127"/>
      <c r="B318" s="16" t="s">
        <v>106</v>
      </c>
      <c r="C318" s="137" t="s">
        <v>46</v>
      </c>
      <c r="D318" s="452"/>
      <c r="E318" s="15"/>
      <c r="F318" s="357"/>
    </row>
    <row r="319" ht="12" hidden="1" spans="1:6">
      <c r="A319" s="127"/>
      <c r="B319" s="15"/>
      <c r="C319" s="137" t="s">
        <v>49</v>
      </c>
      <c r="D319" s="452"/>
      <c r="E319" s="15"/>
      <c r="F319" s="13"/>
    </row>
    <row r="320" ht="12" hidden="1" spans="1:6">
      <c r="A320" s="127"/>
      <c r="B320" s="15"/>
      <c r="C320" s="137" t="s">
        <v>58</v>
      </c>
      <c r="D320" s="452"/>
      <c r="E320" s="15"/>
      <c r="F320" s="13"/>
    </row>
    <row r="321" ht="12" hidden="1" spans="1:6">
      <c r="A321" s="127"/>
      <c r="B321" s="15"/>
      <c r="C321" s="137" t="s">
        <v>61</v>
      </c>
      <c r="D321" s="452"/>
      <c r="E321" s="15"/>
      <c r="F321" s="13"/>
    </row>
    <row r="322" ht="12" hidden="1" spans="1:6">
      <c r="A322" s="127"/>
      <c r="B322" s="15"/>
      <c r="C322" s="137" t="s">
        <v>64</v>
      </c>
      <c r="D322" s="452"/>
      <c r="E322" s="15"/>
      <c r="F322" s="13"/>
    </row>
    <row r="323" ht="12" hidden="1" spans="1:6">
      <c r="A323" s="127"/>
      <c r="B323" s="15"/>
      <c r="C323" s="137" t="s">
        <v>67</v>
      </c>
      <c r="D323" s="452"/>
      <c r="E323" s="15"/>
      <c r="F323" s="13"/>
    </row>
    <row r="324" ht="12" hidden="1" spans="1:6">
      <c r="A324" s="457" t="s">
        <v>168</v>
      </c>
      <c r="B324" s="16" t="s">
        <v>169</v>
      </c>
      <c r="C324" s="137" t="s">
        <v>70</v>
      </c>
      <c r="D324" s="452"/>
      <c r="E324" s="15"/>
      <c r="F324" s="459"/>
    </row>
    <row r="325" ht="12" hidden="1" spans="1:6">
      <c r="A325" s="127"/>
      <c r="B325" s="15"/>
      <c r="C325" s="137" t="s">
        <v>71</v>
      </c>
      <c r="D325" s="452"/>
      <c r="E325" s="15"/>
      <c r="F325" s="13"/>
    </row>
    <row r="326" ht="12" hidden="1" spans="1:6">
      <c r="A326" s="127"/>
      <c r="B326" s="15"/>
      <c r="C326" s="137" t="s">
        <v>70</v>
      </c>
      <c r="D326" s="452"/>
      <c r="E326" s="15"/>
      <c r="F326" s="13"/>
    </row>
    <row r="327" ht="12" hidden="1" spans="1:6">
      <c r="A327" s="127"/>
      <c r="B327" s="15"/>
      <c r="C327" s="137" t="s">
        <v>71</v>
      </c>
      <c r="D327" s="452"/>
      <c r="E327" s="15"/>
      <c r="F327" s="13"/>
    </row>
    <row r="328" ht="12" hidden="1" spans="1:6">
      <c r="A328" s="127"/>
      <c r="B328" s="16" t="s">
        <v>170</v>
      </c>
      <c r="C328" s="137" t="s">
        <v>73</v>
      </c>
      <c r="D328" s="452"/>
      <c r="E328" s="15"/>
      <c r="F328" s="459"/>
    </row>
    <row r="329" ht="12" hidden="1" spans="1:6">
      <c r="A329" s="127"/>
      <c r="B329" s="15"/>
      <c r="C329" s="137" t="s">
        <v>74</v>
      </c>
      <c r="D329" s="452"/>
      <c r="E329" s="15"/>
      <c r="F329" s="13"/>
    </row>
    <row r="330" ht="12" hidden="1" spans="1:6">
      <c r="A330" s="127"/>
      <c r="B330" s="15"/>
      <c r="C330" s="137" t="s">
        <v>73</v>
      </c>
      <c r="D330" s="452"/>
      <c r="E330" s="15"/>
      <c r="F330" s="13"/>
    </row>
    <row r="331" ht="12" hidden="1" spans="1:6">
      <c r="A331" s="127"/>
      <c r="B331" s="15"/>
      <c r="C331" s="137" t="s">
        <v>74</v>
      </c>
      <c r="D331" s="452"/>
      <c r="E331" s="15"/>
      <c r="F331" s="13"/>
    </row>
    <row r="332" ht="12" hidden="1" spans="1:6">
      <c r="A332" s="127"/>
      <c r="B332" s="16" t="s">
        <v>171</v>
      </c>
      <c r="C332" s="137" t="s">
        <v>76</v>
      </c>
      <c r="D332" s="452"/>
      <c r="E332" s="15"/>
      <c r="F332" s="459"/>
    </row>
    <row r="333" ht="12" hidden="1" spans="1:6">
      <c r="A333" s="127"/>
      <c r="B333" s="15"/>
      <c r="C333" s="137" t="s">
        <v>77</v>
      </c>
      <c r="D333" s="452"/>
      <c r="E333" s="15"/>
      <c r="F333" s="13"/>
    </row>
    <row r="334" ht="12" hidden="1" spans="1:6">
      <c r="A334" s="127"/>
      <c r="B334" s="15"/>
      <c r="C334" s="137" t="s">
        <v>78</v>
      </c>
      <c r="D334" s="452"/>
      <c r="E334" s="15"/>
      <c r="F334" s="13"/>
    </row>
    <row r="335" ht="12" hidden="1" spans="1:6">
      <c r="A335" s="127"/>
      <c r="B335" s="15"/>
      <c r="C335" s="137" t="s">
        <v>79</v>
      </c>
      <c r="D335" s="452"/>
      <c r="E335" s="15"/>
      <c r="F335" s="13"/>
    </row>
    <row r="336" ht="12" hidden="1" spans="1:6">
      <c r="A336" s="127"/>
      <c r="B336" s="15"/>
      <c r="C336" s="137" t="s">
        <v>80</v>
      </c>
      <c r="D336" s="452"/>
      <c r="E336" s="15"/>
      <c r="F336" s="13"/>
    </row>
    <row r="337" ht="12" hidden="1" spans="1:6">
      <c r="A337" s="127"/>
      <c r="B337" s="16" t="s">
        <v>132</v>
      </c>
      <c r="C337" s="137" t="s">
        <v>70</v>
      </c>
      <c r="D337" s="452"/>
      <c r="E337" s="15"/>
      <c r="F337" s="357"/>
    </row>
    <row r="338" ht="12" hidden="1" spans="1:6">
      <c r="A338" s="127"/>
      <c r="B338" s="15"/>
      <c r="C338" s="137" t="s">
        <v>71</v>
      </c>
      <c r="D338" s="452"/>
      <c r="E338" s="15"/>
      <c r="F338" s="13"/>
    </row>
    <row r="339" ht="12" hidden="1" spans="1:6">
      <c r="A339" s="127"/>
      <c r="B339" s="15"/>
      <c r="C339" s="137" t="s">
        <v>73</v>
      </c>
      <c r="D339" s="452"/>
      <c r="E339" s="15"/>
      <c r="F339" s="13"/>
    </row>
    <row r="340" ht="12" hidden="1" spans="1:6">
      <c r="A340" s="127"/>
      <c r="B340" s="15"/>
      <c r="C340" s="137" t="s">
        <v>74</v>
      </c>
      <c r="D340" s="452"/>
      <c r="E340" s="15"/>
      <c r="F340" s="13"/>
    </row>
    <row r="341" ht="12" hidden="1" spans="1:6">
      <c r="A341" s="127"/>
      <c r="B341" s="16" t="s">
        <v>134</v>
      </c>
      <c r="C341" s="137" t="s">
        <v>70</v>
      </c>
      <c r="D341" s="452"/>
      <c r="E341" s="15"/>
      <c r="F341" s="357"/>
    </row>
    <row r="342" ht="12" hidden="1" spans="1:6">
      <c r="A342" s="127"/>
      <c r="B342" s="15"/>
      <c r="C342" s="137" t="s">
        <v>71</v>
      </c>
      <c r="D342" s="452"/>
      <c r="E342" s="15"/>
      <c r="F342" s="13"/>
    </row>
    <row r="343" ht="12" hidden="1" spans="1:6">
      <c r="A343" s="127"/>
      <c r="B343" s="15"/>
      <c r="C343" s="137" t="s">
        <v>73</v>
      </c>
      <c r="D343" s="452"/>
      <c r="E343" s="15"/>
      <c r="F343" s="13"/>
    </row>
    <row r="344" ht="12" hidden="1" spans="1:6">
      <c r="A344" s="127"/>
      <c r="B344" s="15"/>
      <c r="C344" s="137" t="s">
        <v>74</v>
      </c>
      <c r="D344" s="452"/>
      <c r="E344" s="15"/>
      <c r="F344" s="13"/>
    </row>
    <row r="345" ht="12" hidden="1" spans="1:6">
      <c r="A345" s="127"/>
      <c r="B345" s="15"/>
      <c r="C345" s="137" t="s">
        <v>76</v>
      </c>
      <c r="D345" s="452"/>
      <c r="E345" s="15"/>
      <c r="F345" s="13"/>
    </row>
    <row r="346" ht="12" hidden="1" spans="1:6">
      <c r="A346" s="127"/>
      <c r="B346" s="15"/>
      <c r="C346" s="137" t="s">
        <v>77</v>
      </c>
      <c r="D346" s="452"/>
      <c r="E346" s="15"/>
      <c r="F346" s="13"/>
    </row>
    <row r="347" ht="12" hidden="1" spans="1:6">
      <c r="A347" s="127"/>
      <c r="B347" s="15"/>
      <c r="C347" s="137" t="s">
        <v>78</v>
      </c>
      <c r="D347" s="452"/>
      <c r="E347" s="15"/>
      <c r="F347" s="13"/>
    </row>
    <row r="348" ht="12" hidden="1" spans="1:6">
      <c r="A348" s="127"/>
      <c r="B348" s="15"/>
      <c r="C348" s="137" t="s">
        <v>79</v>
      </c>
      <c r="D348" s="452"/>
      <c r="E348" s="15"/>
      <c r="F348" s="13"/>
    </row>
    <row r="349" ht="12" hidden="1" spans="1:6">
      <c r="A349" s="127"/>
      <c r="B349" s="15"/>
      <c r="C349" s="137" t="s">
        <v>80</v>
      </c>
      <c r="D349" s="452"/>
      <c r="E349" s="15"/>
      <c r="F349" s="13"/>
    </row>
    <row r="350" ht="12" hidden="1" spans="1:6">
      <c r="A350" s="127"/>
      <c r="B350" s="451" t="s">
        <v>136</v>
      </c>
      <c r="C350" s="15" t="s">
        <v>70</v>
      </c>
      <c r="D350" s="29"/>
      <c r="E350" s="15"/>
      <c r="F350" s="455"/>
    </row>
    <row r="351" ht="12" hidden="1" spans="1:6">
      <c r="A351" s="127"/>
      <c r="B351" s="15"/>
      <c r="C351" s="15" t="s">
        <v>71</v>
      </c>
      <c r="D351" s="29"/>
      <c r="E351" s="15"/>
      <c r="F351" s="127"/>
    </row>
    <row r="352" ht="12" hidden="1" spans="1:6">
      <c r="A352" s="127"/>
      <c r="B352" s="15"/>
      <c r="C352" s="29" t="s">
        <v>137</v>
      </c>
      <c r="D352" s="29"/>
      <c r="E352" s="15"/>
      <c r="F352" s="127"/>
    </row>
    <row r="353" ht="12" hidden="1" spans="1:6">
      <c r="A353" s="127"/>
      <c r="B353" s="15"/>
      <c r="C353" s="29" t="s">
        <v>138</v>
      </c>
      <c r="D353" s="29"/>
      <c r="E353" s="15"/>
      <c r="F353" s="127"/>
    </row>
    <row r="354" ht="12" hidden="1" spans="1:6">
      <c r="A354" s="127"/>
      <c r="B354" s="15"/>
      <c r="C354" s="29" t="s">
        <v>139</v>
      </c>
      <c r="D354" s="29" t="s">
        <v>140</v>
      </c>
      <c r="E354" s="15"/>
      <c r="F354" s="127"/>
    </row>
    <row r="355" ht="12" hidden="1" spans="1:6">
      <c r="A355" s="458"/>
      <c r="B355" s="15"/>
      <c r="C355" s="15" t="s">
        <v>70</v>
      </c>
      <c r="D355" s="29"/>
      <c r="E355" s="15"/>
      <c r="F355" s="127"/>
    </row>
    <row r="356" ht="12" hidden="1" spans="1:6">
      <c r="A356" s="458"/>
      <c r="B356" s="15"/>
      <c r="C356" s="15" t="s">
        <v>71</v>
      </c>
      <c r="D356" s="29"/>
      <c r="E356" s="15"/>
      <c r="F356" s="127"/>
    </row>
    <row r="357" ht="12" hidden="1" spans="1:6">
      <c r="A357" s="458"/>
      <c r="B357" s="15"/>
      <c r="C357" s="29" t="s">
        <v>141</v>
      </c>
      <c r="D357" s="29" t="s">
        <v>140</v>
      </c>
      <c r="E357" s="15"/>
      <c r="F357" s="127"/>
    </row>
    <row r="358" ht="12" hidden="1" spans="1:6">
      <c r="A358" s="458"/>
      <c r="B358" s="15"/>
      <c r="C358" s="29" t="s">
        <v>139</v>
      </c>
      <c r="D358" s="29"/>
      <c r="E358" s="15"/>
      <c r="F358" s="127"/>
    </row>
    <row r="359" ht="12" hidden="1" spans="1:6">
      <c r="A359" s="458"/>
      <c r="B359" s="15"/>
      <c r="C359" s="29" t="s">
        <v>142</v>
      </c>
      <c r="D359" s="29"/>
      <c r="E359" s="15"/>
      <c r="F359" s="103"/>
    </row>
    <row r="360" ht="12" hidden="1" spans="1:6">
      <c r="A360" s="127"/>
      <c r="B360" s="460" t="s">
        <v>144</v>
      </c>
      <c r="C360" s="15" t="s">
        <v>76</v>
      </c>
      <c r="D360" s="29"/>
      <c r="E360" s="15"/>
      <c r="F360" s="400"/>
    </row>
    <row r="361" ht="12" hidden="1" spans="1:6">
      <c r="A361" s="127"/>
      <c r="B361" s="15"/>
      <c r="C361" s="15" t="s">
        <v>80</v>
      </c>
      <c r="D361" s="29"/>
      <c r="E361" s="15"/>
      <c r="F361" s="127"/>
    </row>
    <row r="362" ht="12" hidden="1" spans="1:6">
      <c r="A362" s="127"/>
      <c r="B362" s="15"/>
      <c r="C362" s="29" t="s">
        <v>137</v>
      </c>
      <c r="D362" s="29"/>
      <c r="E362" s="15"/>
      <c r="F362" s="127"/>
    </row>
    <row r="363" ht="12" hidden="1" spans="1:6">
      <c r="A363" s="127"/>
      <c r="B363" s="15"/>
      <c r="C363" s="29" t="s">
        <v>145</v>
      </c>
      <c r="D363" s="29"/>
      <c r="E363" s="15"/>
      <c r="F363" s="127"/>
    </row>
    <row r="364" ht="12" hidden="1" spans="1:6">
      <c r="A364" s="127"/>
      <c r="B364" s="15"/>
      <c r="C364" s="29" t="s">
        <v>139</v>
      </c>
      <c r="D364" s="29" t="s">
        <v>140</v>
      </c>
      <c r="E364" s="15"/>
      <c r="F364" s="127"/>
    </row>
    <row r="365" ht="12" hidden="1" spans="1:6">
      <c r="A365" s="127"/>
      <c r="B365" s="15"/>
      <c r="C365" s="15" t="s">
        <v>76</v>
      </c>
      <c r="D365" s="29"/>
      <c r="E365" s="15"/>
      <c r="F365" s="127"/>
    </row>
    <row r="366" ht="12" hidden="1" spans="1:6">
      <c r="A366" s="127"/>
      <c r="B366" s="15"/>
      <c r="C366" s="15" t="s">
        <v>80</v>
      </c>
      <c r="D366" s="29"/>
      <c r="E366" s="15"/>
      <c r="F366" s="127"/>
    </row>
    <row r="367" ht="12" hidden="1" spans="1:6">
      <c r="A367" s="127"/>
      <c r="B367" s="15"/>
      <c r="C367" s="29" t="s">
        <v>141</v>
      </c>
      <c r="D367" s="29" t="s">
        <v>140</v>
      </c>
      <c r="E367" s="15"/>
      <c r="F367" s="127"/>
    </row>
    <row r="368" ht="12" hidden="1" spans="1:6">
      <c r="A368" s="127"/>
      <c r="B368" s="15"/>
      <c r="C368" s="29" t="s">
        <v>139</v>
      </c>
      <c r="D368" s="29"/>
      <c r="E368" s="15"/>
      <c r="F368" s="127"/>
    </row>
    <row r="369" ht="12" hidden="1" spans="1:6">
      <c r="A369" s="127"/>
      <c r="B369" s="15"/>
      <c r="C369" s="15" t="s">
        <v>76</v>
      </c>
      <c r="D369" s="29"/>
      <c r="E369" s="15"/>
      <c r="F369" s="127"/>
    </row>
    <row r="370" ht="12" hidden="1" spans="1:6">
      <c r="A370" s="127"/>
      <c r="B370" s="15"/>
      <c r="C370" s="15" t="s">
        <v>80</v>
      </c>
      <c r="D370" s="29"/>
      <c r="E370" s="15"/>
      <c r="F370" s="127"/>
    </row>
    <row r="371" ht="12" hidden="1" spans="1:6">
      <c r="A371" s="127"/>
      <c r="B371" s="15"/>
      <c r="C371" s="29" t="s">
        <v>141</v>
      </c>
      <c r="D371" s="29"/>
      <c r="E371" s="15"/>
      <c r="F371" s="103"/>
    </row>
    <row r="372" ht="12" hidden="1" spans="1:6">
      <c r="A372" s="457" t="s">
        <v>172</v>
      </c>
      <c r="B372" s="16" t="s">
        <v>169</v>
      </c>
      <c r="C372" s="137" t="s">
        <v>70</v>
      </c>
      <c r="D372" s="452"/>
      <c r="E372" s="15"/>
      <c r="F372" s="461"/>
    </row>
    <row r="373" ht="12" hidden="1" spans="1:6">
      <c r="A373" s="127"/>
      <c r="B373" s="15"/>
      <c r="C373" s="137" t="s">
        <v>71</v>
      </c>
      <c r="D373" s="452"/>
      <c r="E373" s="15"/>
      <c r="F373" s="127"/>
    </row>
    <row r="374" ht="12" hidden="1" spans="1:6">
      <c r="A374" s="127"/>
      <c r="B374" s="15"/>
      <c r="C374" s="137" t="s">
        <v>70</v>
      </c>
      <c r="D374" s="452"/>
      <c r="E374" s="15"/>
      <c r="F374" s="127"/>
    </row>
    <row r="375" ht="12" hidden="1" spans="1:6">
      <c r="A375" s="127"/>
      <c r="B375" s="15"/>
      <c r="C375" s="137" t="s">
        <v>71</v>
      </c>
      <c r="D375" s="452"/>
      <c r="E375" s="15"/>
      <c r="F375" s="103"/>
    </row>
    <row r="376" ht="12" hidden="1" spans="1:6">
      <c r="A376" s="127"/>
      <c r="B376" s="16" t="s">
        <v>170</v>
      </c>
      <c r="C376" s="137" t="s">
        <v>73</v>
      </c>
      <c r="D376" s="452"/>
      <c r="E376" s="15"/>
      <c r="F376" s="461"/>
    </row>
    <row r="377" ht="12" hidden="1" spans="1:6">
      <c r="A377" s="127"/>
      <c r="B377" s="15"/>
      <c r="C377" s="137" t="s">
        <v>74</v>
      </c>
      <c r="D377" s="452"/>
      <c r="E377" s="15"/>
      <c r="F377" s="127"/>
    </row>
    <row r="378" ht="12" hidden="1" spans="1:6">
      <c r="A378" s="127"/>
      <c r="B378" s="15"/>
      <c r="C378" s="137" t="s">
        <v>73</v>
      </c>
      <c r="D378" s="452"/>
      <c r="E378" s="15"/>
      <c r="F378" s="127"/>
    </row>
    <row r="379" ht="12" hidden="1" spans="1:6">
      <c r="A379" s="127"/>
      <c r="B379" s="15"/>
      <c r="C379" s="137" t="s">
        <v>74</v>
      </c>
      <c r="D379" s="452"/>
      <c r="E379" s="15"/>
      <c r="F379" s="103"/>
    </row>
    <row r="380" ht="12" hidden="1" spans="1:6">
      <c r="A380" s="127"/>
      <c r="B380" s="16" t="s">
        <v>171</v>
      </c>
      <c r="C380" s="137" t="s">
        <v>76</v>
      </c>
      <c r="D380" s="452"/>
      <c r="E380" s="15"/>
      <c r="F380" s="461"/>
    </row>
    <row r="381" ht="12" hidden="1" spans="1:6">
      <c r="A381" s="127"/>
      <c r="B381" s="15"/>
      <c r="C381" s="137" t="s">
        <v>77</v>
      </c>
      <c r="D381" s="452"/>
      <c r="E381" s="15"/>
      <c r="F381" s="127"/>
    </row>
    <row r="382" ht="12" hidden="1" spans="1:6">
      <c r="A382" s="127"/>
      <c r="B382" s="15"/>
      <c r="C382" s="137" t="s">
        <v>78</v>
      </c>
      <c r="D382" s="452"/>
      <c r="E382" s="15"/>
      <c r="F382" s="127"/>
    </row>
    <row r="383" ht="12" hidden="1" spans="1:6">
      <c r="A383" s="127"/>
      <c r="B383" s="15"/>
      <c r="C383" s="137" t="s">
        <v>79</v>
      </c>
      <c r="D383" s="452"/>
      <c r="E383" s="15"/>
      <c r="F383" s="127"/>
    </row>
    <row r="384" ht="12" hidden="1" spans="1:6">
      <c r="A384" s="127"/>
      <c r="B384" s="15"/>
      <c r="C384" s="137" t="s">
        <v>80</v>
      </c>
      <c r="D384" s="452"/>
      <c r="E384" s="15"/>
      <c r="F384" s="103"/>
    </row>
    <row r="385" ht="12" hidden="1" spans="1:6">
      <c r="A385" s="127"/>
      <c r="B385" s="16" t="s">
        <v>132</v>
      </c>
      <c r="C385" s="137" t="s">
        <v>70</v>
      </c>
      <c r="D385" s="452"/>
      <c r="E385" s="15"/>
      <c r="F385" s="455"/>
    </row>
    <row r="386" ht="12" hidden="1" spans="1:6">
      <c r="A386" s="127"/>
      <c r="B386" s="15"/>
      <c r="C386" s="137" t="s">
        <v>71</v>
      </c>
      <c r="D386" s="452"/>
      <c r="E386" s="15"/>
      <c r="F386" s="127"/>
    </row>
    <row r="387" ht="12" hidden="1" spans="1:6">
      <c r="A387" s="127"/>
      <c r="B387" s="15"/>
      <c r="C387" s="137" t="s">
        <v>73</v>
      </c>
      <c r="D387" s="452"/>
      <c r="E387" s="15"/>
      <c r="F387" s="127"/>
    </row>
    <row r="388" ht="12" hidden="1" spans="1:6">
      <c r="A388" s="127"/>
      <c r="B388" s="15"/>
      <c r="C388" s="137" t="s">
        <v>74</v>
      </c>
      <c r="D388" s="452"/>
      <c r="E388" s="15"/>
      <c r="F388" s="103"/>
    </row>
    <row r="389" ht="12" hidden="1" spans="1:6">
      <c r="A389" s="127"/>
      <c r="B389" s="16" t="s">
        <v>134</v>
      </c>
      <c r="C389" s="137" t="s">
        <v>70</v>
      </c>
      <c r="D389" s="452"/>
      <c r="E389" s="15"/>
      <c r="F389" s="455"/>
    </row>
    <row r="390" ht="12" hidden="1" spans="1:6">
      <c r="A390" s="127"/>
      <c r="B390" s="15"/>
      <c r="C390" s="137" t="s">
        <v>71</v>
      </c>
      <c r="D390" s="452"/>
      <c r="E390" s="15"/>
      <c r="F390" s="127"/>
    </row>
    <row r="391" ht="12" hidden="1" spans="1:6">
      <c r="A391" s="127"/>
      <c r="B391" s="15"/>
      <c r="C391" s="137" t="s">
        <v>73</v>
      </c>
      <c r="D391" s="452"/>
      <c r="E391" s="15"/>
      <c r="F391" s="127"/>
    </row>
    <row r="392" ht="12" hidden="1" spans="1:6">
      <c r="A392" s="127"/>
      <c r="B392" s="15"/>
      <c r="C392" s="137" t="s">
        <v>74</v>
      </c>
      <c r="D392" s="452"/>
      <c r="E392" s="15"/>
      <c r="F392" s="127"/>
    </row>
    <row r="393" ht="12" hidden="1" spans="1:6">
      <c r="A393" s="127"/>
      <c r="B393" s="15"/>
      <c r="C393" s="137" t="s">
        <v>76</v>
      </c>
      <c r="D393" s="452"/>
      <c r="E393" s="15"/>
      <c r="F393" s="127"/>
    </row>
    <row r="394" ht="12" hidden="1" spans="1:6">
      <c r="A394" s="127"/>
      <c r="B394" s="15"/>
      <c r="C394" s="137" t="s">
        <v>77</v>
      </c>
      <c r="D394" s="452"/>
      <c r="E394" s="15"/>
      <c r="F394" s="127"/>
    </row>
    <row r="395" ht="12" hidden="1" spans="1:6">
      <c r="A395" s="127"/>
      <c r="B395" s="15"/>
      <c r="C395" s="137" t="s">
        <v>78</v>
      </c>
      <c r="D395" s="452"/>
      <c r="E395" s="15"/>
      <c r="F395" s="127"/>
    </row>
    <row r="396" ht="12" hidden="1" spans="1:6">
      <c r="A396" s="127"/>
      <c r="B396" s="15"/>
      <c r="C396" s="137" t="s">
        <v>79</v>
      </c>
      <c r="D396" s="452"/>
      <c r="E396" s="15"/>
      <c r="F396" s="127"/>
    </row>
    <row r="397" ht="12" hidden="1" spans="1:6">
      <c r="A397" s="127"/>
      <c r="B397" s="15"/>
      <c r="C397" s="137" t="s">
        <v>80</v>
      </c>
      <c r="D397" s="452"/>
      <c r="E397" s="15"/>
      <c r="F397" s="103"/>
    </row>
    <row r="398" ht="12" hidden="1" spans="1:6">
      <c r="A398" s="127"/>
      <c r="B398" s="451" t="s">
        <v>136</v>
      </c>
      <c r="C398" s="15" t="s">
        <v>70</v>
      </c>
      <c r="D398" s="29"/>
      <c r="E398" s="15"/>
      <c r="F398" s="455"/>
    </row>
    <row r="399" ht="12" hidden="1" spans="1:6">
      <c r="A399" s="127"/>
      <c r="B399" s="15"/>
      <c r="C399" s="15" t="s">
        <v>71</v>
      </c>
      <c r="D399" s="29"/>
      <c r="E399" s="15"/>
      <c r="F399" s="127"/>
    </row>
    <row r="400" ht="12" hidden="1" spans="1:6">
      <c r="A400" s="127"/>
      <c r="B400" s="15"/>
      <c r="C400" s="29" t="s">
        <v>137</v>
      </c>
      <c r="D400" s="29"/>
      <c r="E400" s="15"/>
      <c r="F400" s="127"/>
    </row>
    <row r="401" ht="12" hidden="1" spans="1:6">
      <c r="A401" s="127"/>
      <c r="B401" s="15"/>
      <c r="C401" s="29" t="s">
        <v>138</v>
      </c>
      <c r="D401" s="29"/>
      <c r="E401" s="15"/>
      <c r="F401" s="127"/>
    </row>
    <row r="402" ht="12" hidden="1" spans="1:6">
      <c r="A402" s="458"/>
      <c r="B402" s="15"/>
      <c r="C402" s="29" t="s">
        <v>139</v>
      </c>
      <c r="D402" s="29" t="s">
        <v>140</v>
      </c>
      <c r="E402" s="15"/>
      <c r="F402" s="127"/>
    </row>
    <row r="403" ht="12" hidden="1" spans="1:6">
      <c r="A403" s="458"/>
      <c r="B403" s="15"/>
      <c r="C403" s="15" t="s">
        <v>70</v>
      </c>
      <c r="D403" s="29"/>
      <c r="E403" s="15"/>
      <c r="F403" s="127"/>
    </row>
    <row r="404" ht="12" hidden="1" spans="1:6">
      <c r="A404" s="458"/>
      <c r="B404" s="15"/>
      <c r="C404" s="15" t="s">
        <v>71</v>
      </c>
      <c r="D404" s="29"/>
      <c r="E404" s="15"/>
      <c r="F404" s="127"/>
    </row>
    <row r="405" ht="12" hidden="1" spans="1:6">
      <c r="A405" s="458"/>
      <c r="B405" s="15"/>
      <c r="C405" s="29" t="s">
        <v>141</v>
      </c>
      <c r="D405" s="29" t="s">
        <v>140</v>
      </c>
      <c r="E405" s="15"/>
      <c r="F405" s="127"/>
    </row>
    <row r="406" ht="12" hidden="1" spans="1:6">
      <c r="A406" s="458"/>
      <c r="B406" s="15"/>
      <c r="C406" s="29" t="s">
        <v>139</v>
      </c>
      <c r="D406" s="29"/>
      <c r="E406" s="15"/>
      <c r="F406" s="127"/>
    </row>
    <row r="407" ht="12" hidden="1" spans="1:6">
      <c r="A407" s="458"/>
      <c r="B407" s="15"/>
      <c r="C407" s="29" t="s">
        <v>142</v>
      </c>
      <c r="D407" s="29"/>
      <c r="E407" s="15"/>
      <c r="F407" s="103"/>
    </row>
    <row r="408" ht="12" hidden="1" spans="1:6">
      <c r="A408" s="458"/>
      <c r="B408" s="460" t="s">
        <v>144</v>
      </c>
      <c r="C408" s="15" t="s">
        <v>76</v>
      </c>
      <c r="D408" s="29"/>
      <c r="E408" s="15"/>
      <c r="F408" s="400"/>
    </row>
    <row r="409" ht="12" hidden="1" spans="1:6">
      <c r="A409" s="458"/>
      <c r="B409" s="15"/>
      <c r="C409" s="15" t="s">
        <v>80</v>
      </c>
      <c r="D409" s="29"/>
      <c r="E409" s="15"/>
      <c r="F409" s="127"/>
    </row>
    <row r="410" ht="12" hidden="1" spans="1:6">
      <c r="A410" s="458"/>
      <c r="B410" s="15"/>
      <c r="C410" s="29" t="s">
        <v>137</v>
      </c>
      <c r="D410" s="29"/>
      <c r="E410" s="15"/>
      <c r="F410" s="127"/>
    </row>
    <row r="411" ht="12" hidden="1" spans="1:6">
      <c r="A411" s="458"/>
      <c r="B411" s="15"/>
      <c r="C411" s="29" t="s">
        <v>145</v>
      </c>
      <c r="D411" s="29"/>
      <c r="E411" s="15"/>
      <c r="F411" s="127"/>
    </row>
    <row r="412" ht="12" hidden="1" spans="1:6">
      <c r="A412" s="127"/>
      <c r="B412" s="15"/>
      <c r="C412" s="29" t="s">
        <v>139</v>
      </c>
      <c r="D412" s="29" t="s">
        <v>140</v>
      </c>
      <c r="E412" s="15"/>
      <c r="F412" s="127"/>
    </row>
    <row r="413" ht="12" hidden="1" spans="1:6">
      <c r="A413" s="127"/>
      <c r="B413" s="15"/>
      <c r="C413" s="15" t="s">
        <v>76</v>
      </c>
      <c r="D413" s="29"/>
      <c r="E413" s="15"/>
      <c r="F413" s="127"/>
    </row>
    <row r="414" ht="12" hidden="1" spans="1:6">
      <c r="A414" s="127"/>
      <c r="B414" s="15"/>
      <c r="C414" s="15" t="s">
        <v>80</v>
      </c>
      <c r="D414" s="29"/>
      <c r="E414" s="15"/>
      <c r="F414" s="127"/>
    </row>
    <row r="415" ht="12" hidden="1" spans="1:6">
      <c r="A415" s="127"/>
      <c r="B415" s="15"/>
      <c r="C415" s="29" t="s">
        <v>141</v>
      </c>
      <c r="D415" s="29" t="s">
        <v>140</v>
      </c>
      <c r="E415" s="15"/>
      <c r="F415" s="127"/>
    </row>
    <row r="416" ht="12" hidden="1" spans="1:6">
      <c r="A416" s="127"/>
      <c r="B416" s="15"/>
      <c r="C416" s="29" t="s">
        <v>139</v>
      </c>
      <c r="D416" s="29"/>
      <c r="E416" s="15"/>
      <c r="F416" s="127"/>
    </row>
    <row r="417" ht="12" hidden="1" spans="1:6">
      <c r="A417" s="127"/>
      <c r="B417" s="15"/>
      <c r="C417" s="15" t="s">
        <v>76</v>
      </c>
      <c r="D417" s="29"/>
      <c r="E417" s="15"/>
      <c r="F417" s="127"/>
    </row>
    <row r="418" ht="12" hidden="1" spans="1:6">
      <c r="A418" s="127"/>
      <c r="B418" s="15"/>
      <c r="C418" s="15" t="s">
        <v>80</v>
      </c>
      <c r="D418" s="29"/>
      <c r="E418" s="15"/>
      <c r="F418" s="127"/>
    </row>
    <row r="419" ht="12" hidden="1" spans="1:6">
      <c r="A419" s="127"/>
      <c r="B419" s="15"/>
      <c r="C419" s="29" t="s">
        <v>141</v>
      </c>
      <c r="D419" s="29"/>
      <c r="E419" s="15"/>
      <c r="F419" s="103"/>
    </row>
    <row r="420" ht="12" hidden="1" spans="1:6">
      <c r="A420" s="457" t="s">
        <v>173</v>
      </c>
      <c r="B420" s="16" t="s">
        <v>170</v>
      </c>
      <c r="C420" s="137" t="s">
        <v>73</v>
      </c>
      <c r="D420" s="452"/>
      <c r="E420" s="15"/>
      <c r="F420" s="461"/>
    </row>
    <row r="421" ht="12" hidden="1" spans="1:6">
      <c r="A421" s="127"/>
      <c r="B421" s="15"/>
      <c r="C421" s="137" t="s">
        <v>74</v>
      </c>
      <c r="D421" s="452"/>
      <c r="E421" s="15"/>
      <c r="F421" s="127"/>
    </row>
    <row r="422" ht="12" hidden="1" spans="1:6">
      <c r="A422" s="127"/>
      <c r="B422" s="15"/>
      <c r="C422" s="137" t="s">
        <v>73</v>
      </c>
      <c r="D422" s="452"/>
      <c r="E422" s="15"/>
      <c r="F422" s="127"/>
    </row>
    <row r="423" ht="12" hidden="1" spans="1:6">
      <c r="A423" s="127"/>
      <c r="B423" s="15"/>
      <c r="C423" s="137" t="s">
        <v>74</v>
      </c>
      <c r="D423" s="452"/>
      <c r="E423" s="15"/>
      <c r="F423" s="103"/>
    </row>
    <row r="424" ht="12" hidden="1" spans="1:6">
      <c r="A424" s="127"/>
      <c r="B424" s="16" t="s">
        <v>171</v>
      </c>
      <c r="C424" s="137" t="s">
        <v>76</v>
      </c>
      <c r="D424" s="452"/>
      <c r="E424" s="15"/>
      <c r="F424" s="461"/>
    </row>
    <row r="425" ht="12" hidden="1" spans="1:6">
      <c r="A425" s="127"/>
      <c r="B425" s="15"/>
      <c r="C425" s="137" t="s">
        <v>77</v>
      </c>
      <c r="D425" s="452"/>
      <c r="E425" s="15"/>
      <c r="F425" s="127"/>
    </row>
    <row r="426" ht="12" hidden="1" spans="1:6">
      <c r="A426" s="127"/>
      <c r="B426" s="15"/>
      <c r="C426" s="137" t="s">
        <v>78</v>
      </c>
      <c r="D426" s="452"/>
      <c r="E426" s="15"/>
      <c r="F426" s="127"/>
    </row>
    <row r="427" ht="12" hidden="1" spans="1:6">
      <c r="A427" s="127"/>
      <c r="B427" s="15"/>
      <c r="C427" s="137" t="s">
        <v>79</v>
      </c>
      <c r="D427" s="452"/>
      <c r="E427" s="15"/>
      <c r="F427" s="127"/>
    </row>
    <row r="428" ht="12" hidden="1" spans="1:6">
      <c r="A428" s="127"/>
      <c r="B428" s="15"/>
      <c r="C428" s="137" t="s">
        <v>80</v>
      </c>
      <c r="D428" s="452"/>
      <c r="E428" s="15"/>
      <c r="F428" s="103"/>
    </row>
    <row r="429" ht="12" hidden="1" spans="1:6">
      <c r="A429" s="127"/>
      <c r="B429" s="16" t="s">
        <v>132</v>
      </c>
      <c r="C429" s="137" t="s">
        <v>70</v>
      </c>
      <c r="D429" s="452"/>
      <c r="E429" s="15"/>
      <c r="F429" s="455"/>
    </row>
    <row r="430" ht="12" hidden="1" spans="1:6">
      <c r="A430" s="127"/>
      <c r="B430" s="15"/>
      <c r="C430" s="137" t="s">
        <v>71</v>
      </c>
      <c r="D430" s="452"/>
      <c r="E430" s="15"/>
      <c r="F430" s="127"/>
    </row>
    <row r="431" ht="12" hidden="1" spans="1:6">
      <c r="A431" s="127"/>
      <c r="B431" s="15"/>
      <c r="C431" s="137" t="s">
        <v>73</v>
      </c>
      <c r="D431" s="452"/>
      <c r="E431" s="15"/>
      <c r="F431" s="127"/>
    </row>
    <row r="432" ht="12" hidden="1" spans="1:6">
      <c r="A432" s="127"/>
      <c r="B432" s="15"/>
      <c r="C432" s="137" t="s">
        <v>74</v>
      </c>
      <c r="D432" s="452"/>
      <c r="E432" s="15"/>
      <c r="F432" s="103"/>
    </row>
    <row r="433" ht="12" hidden="1" spans="1:6">
      <c r="A433" s="127"/>
      <c r="B433" s="16" t="s">
        <v>134</v>
      </c>
      <c r="C433" s="137" t="s">
        <v>70</v>
      </c>
      <c r="D433" s="452"/>
      <c r="E433" s="452"/>
      <c r="F433" s="358"/>
    </row>
    <row r="434" ht="12" hidden="1" spans="1:6">
      <c r="A434" s="127"/>
      <c r="B434" s="15"/>
      <c r="C434" s="137" t="s">
        <v>71</v>
      </c>
      <c r="D434" s="452"/>
      <c r="E434" s="452"/>
      <c r="F434" s="13"/>
    </row>
    <row r="435" ht="12" hidden="1" spans="1:6">
      <c r="A435" s="127"/>
      <c r="B435" s="15"/>
      <c r="C435" s="137" t="s">
        <v>73</v>
      </c>
      <c r="D435" s="452"/>
      <c r="E435" s="452"/>
      <c r="F435" s="13"/>
    </row>
    <row r="436" ht="12" hidden="1" spans="1:6">
      <c r="A436" s="127"/>
      <c r="B436" s="15"/>
      <c r="C436" s="137" t="s">
        <v>74</v>
      </c>
      <c r="D436" s="452"/>
      <c r="E436" s="452"/>
      <c r="F436" s="13"/>
    </row>
    <row r="437" ht="12" hidden="1" spans="1:6">
      <c r="A437" s="127"/>
      <c r="B437" s="15"/>
      <c r="C437" s="137" t="s">
        <v>76</v>
      </c>
      <c r="D437" s="452"/>
      <c r="E437" s="452"/>
      <c r="F437" s="13"/>
    </row>
    <row r="438" ht="12" hidden="1" spans="1:6">
      <c r="A438" s="127"/>
      <c r="B438" s="15"/>
      <c r="C438" s="137" t="s">
        <v>77</v>
      </c>
      <c r="D438" s="452"/>
      <c r="E438" s="452"/>
      <c r="F438" s="13"/>
    </row>
    <row r="439" ht="12" hidden="1" spans="1:6">
      <c r="A439" s="127"/>
      <c r="B439" s="15"/>
      <c r="C439" s="137" t="s">
        <v>78</v>
      </c>
      <c r="D439" s="452"/>
      <c r="E439" s="452"/>
      <c r="F439" s="13"/>
    </row>
    <row r="440" ht="12" hidden="1" spans="1:6">
      <c r="A440" s="127"/>
      <c r="B440" s="15"/>
      <c r="C440" s="137" t="s">
        <v>79</v>
      </c>
      <c r="D440" s="452"/>
      <c r="E440" s="452"/>
      <c r="F440" s="13"/>
    </row>
    <row r="441" ht="12" hidden="1" spans="1:6">
      <c r="A441" s="127"/>
      <c r="B441" s="15"/>
      <c r="C441" s="137" t="s">
        <v>80</v>
      </c>
      <c r="D441" s="452"/>
      <c r="E441" s="452"/>
      <c r="F441" s="13"/>
    </row>
    <row r="442" ht="12" hidden="1" spans="1:6">
      <c r="A442" s="127"/>
      <c r="B442" s="451" t="s">
        <v>136</v>
      </c>
      <c r="C442" s="15" t="s">
        <v>70</v>
      </c>
      <c r="D442" s="29"/>
      <c r="E442" s="15"/>
      <c r="F442" s="462"/>
    </row>
    <row r="443" ht="12" hidden="1" spans="1:6">
      <c r="A443" s="127"/>
      <c r="B443" s="15"/>
      <c r="C443" s="15" t="s">
        <v>71</v>
      </c>
      <c r="D443" s="29"/>
      <c r="E443" s="15"/>
      <c r="F443" s="127"/>
    </row>
    <row r="444" ht="12" hidden="1" spans="1:6">
      <c r="A444" s="127"/>
      <c r="B444" s="15"/>
      <c r="C444" s="29" t="s">
        <v>137</v>
      </c>
      <c r="D444" s="29"/>
      <c r="E444" s="15"/>
      <c r="F444" s="127"/>
    </row>
    <row r="445" ht="12" hidden="1" spans="1:6">
      <c r="A445" s="127"/>
      <c r="B445" s="15"/>
      <c r="C445" s="29" t="s">
        <v>138</v>
      </c>
      <c r="D445" s="29"/>
      <c r="E445" s="15"/>
      <c r="F445" s="127"/>
    </row>
    <row r="446" ht="12" hidden="1" spans="1:6">
      <c r="A446" s="127"/>
      <c r="B446" s="15"/>
      <c r="C446" s="29" t="s">
        <v>139</v>
      </c>
      <c r="D446" s="29" t="s">
        <v>140</v>
      </c>
      <c r="E446" s="15"/>
      <c r="F446" s="127"/>
    </row>
    <row r="447" ht="12" hidden="1" spans="1:6">
      <c r="A447" s="127"/>
      <c r="B447" s="15"/>
      <c r="C447" s="15" t="s">
        <v>70</v>
      </c>
      <c r="D447" s="29"/>
      <c r="E447" s="15"/>
      <c r="F447" s="127"/>
    </row>
    <row r="448" ht="12" hidden="1" spans="1:6">
      <c r="A448" s="127"/>
      <c r="B448" s="15"/>
      <c r="C448" s="15" t="s">
        <v>71</v>
      </c>
      <c r="D448" s="29"/>
      <c r="E448" s="15"/>
      <c r="F448" s="127"/>
    </row>
    <row r="449" ht="12" hidden="1" spans="1:6">
      <c r="A449" s="127"/>
      <c r="B449" s="15"/>
      <c r="C449" s="29" t="s">
        <v>141</v>
      </c>
      <c r="D449" s="29" t="s">
        <v>140</v>
      </c>
      <c r="E449" s="15"/>
      <c r="F449" s="127"/>
    </row>
    <row r="450" ht="12" hidden="1" spans="1:6">
      <c r="A450" s="127"/>
      <c r="B450" s="15"/>
      <c r="C450" s="29" t="s">
        <v>139</v>
      </c>
      <c r="D450" s="29"/>
      <c r="E450" s="15"/>
      <c r="F450" s="127"/>
    </row>
    <row r="451" ht="12" hidden="1" spans="1:6">
      <c r="A451" s="127"/>
      <c r="B451" s="15"/>
      <c r="C451" s="29" t="s">
        <v>142</v>
      </c>
      <c r="D451" s="29"/>
      <c r="E451" s="15"/>
      <c r="F451" s="103"/>
    </row>
    <row r="452" ht="12" hidden="1" spans="1:6">
      <c r="A452" s="127"/>
      <c r="B452" s="460" t="s">
        <v>144</v>
      </c>
      <c r="C452" s="15" t="s">
        <v>76</v>
      </c>
      <c r="D452" s="29"/>
      <c r="E452" s="15"/>
      <c r="F452" s="400"/>
    </row>
    <row r="453" ht="12" hidden="1" spans="1:6">
      <c r="A453" s="127"/>
      <c r="B453" s="15"/>
      <c r="C453" s="15" t="s">
        <v>80</v>
      </c>
      <c r="D453" s="29"/>
      <c r="E453" s="15"/>
      <c r="F453" s="127"/>
    </row>
    <row r="454" ht="12" hidden="1" spans="1:6">
      <c r="A454" s="127"/>
      <c r="B454" s="15"/>
      <c r="C454" s="29" t="s">
        <v>137</v>
      </c>
      <c r="D454" s="29"/>
      <c r="E454" s="15"/>
      <c r="F454" s="127"/>
    </row>
    <row r="455" ht="12" hidden="1" spans="1:6">
      <c r="A455" s="127"/>
      <c r="B455" s="15"/>
      <c r="C455" s="29" t="s">
        <v>145</v>
      </c>
      <c r="D455" s="29"/>
      <c r="E455" s="15"/>
      <c r="F455" s="127"/>
    </row>
    <row r="456" ht="12" hidden="1" spans="1:6">
      <c r="A456" s="127"/>
      <c r="B456" s="15"/>
      <c r="C456" s="29" t="s">
        <v>139</v>
      </c>
      <c r="D456" s="29" t="s">
        <v>140</v>
      </c>
      <c r="E456" s="15"/>
      <c r="F456" s="127"/>
    </row>
    <row r="457" ht="12" hidden="1" spans="1:6">
      <c r="A457" s="127"/>
      <c r="B457" s="15"/>
      <c r="C457" s="15" t="s">
        <v>76</v>
      </c>
      <c r="D457" s="29"/>
      <c r="E457" s="15"/>
      <c r="F457" s="127"/>
    </row>
    <row r="458" ht="12" hidden="1" spans="1:6">
      <c r="A458" s="127"/>
      <c r="B458" s="15"/>
      <c r="C458" s="15" t="s">
        <v>80</v>
      </c>
      <c r="D458" s="29"/>
      <c r="E458" s="15"/>
      <c r="F458" s="127"/>
    </row>
    <row r="459" ht="12" hidden="1" spans="1:6">
      <c r="A459" s="127"/>
      <c r="B459" s="15"/>
      <c r="C459" s="29" t="s">
        <v>141</v>
      </c>
      <c r="D459" s="29" t="s">
        <v>140</v>
      </c>
      <c r="E459" s="15"/>
      <c r="F459" s="127"/>
    </row>
    <row r="460" ht="12" hidden="1" spans="1:6">
      <c r="A460" s="127"/>
      <c r="B460" s="15"/>
      <c r="C460" s="29" t="s">
        <v>139</v>
      </c>
      <c r="D460" s="29"/>
      <c r="E460" s="15"/>
      <c r="F460" s="138"/>
    </row>
    <row r="461" ht="12" hidden="1" spans="2:6">
      <c r="B461" s="13"/>
      <c r="C461" s="15" t="s">
        <v>76</v>
      </c>
      <c r="D461" s="29"/>
      <c r="F461" s="138"/>
    </row>
    <row r="462" ht="12" hidden="1" spans="2:6">
      <c r="B462" s="13"/>
      <c r="C462" s="15" t="s">
        <v>80</v>
      </c>
      <c r="D462" s="29"/>
      <c r="F462" s="138"/>
    </row>
    <row r="463" ht="12" hidden="1" spans="1:6">
      <c r="A463" s="103"/>
      <c r="B463" s="13"/>
      <c r="C463" s="29" t="s">
        <v>141</v>
      </c>
      <c r="D463" s="29"/>
      <c r="F463" s="116"/>
    </row>
    <row r="464" ht="12" spans="1:1">
      <c r="A464" s="15"/>
    </row>
    <row r="465" ht="12" spans="1:1">
      <c r="A465" s="15"/>
    </row>
    <row r="466" ht="12" spans="1:1">
      <c r="A466" s="15"/>
    </row>
    <row r="467" ht="12" spans="1:1">
      <c r="A467" s="15"/>
    </row>
    <row r="468" ht="12" spans="1:1">
      <c r="A468" s="15"/>
    </row>
    <row r="469" ht="12" spans="1:1">
      <c r="A469" s="15"/>
    </row>
    <row r="470" ht="12" spans="1:1">
      <c r="A470" s="15"/>
    </row>
    <row r="471" ht="12" spans="1:1">
      <c r="A471" s="15"/>
    </row>
    <row r="472" ht="12" spans="1:1">
      <c r="A472" s="15"/>
    </row>
    <row r="473" ht="12" spans="1:1">
      <c r="A473" s="15"/>
    </row>
    <row r="474" ht="12" spans="1:1">
      <c r="A474" s="15"/>
    </row>
    <row r="475" ht="12" spans="1:1">
      <c r="A475" s="15"/>
    </row>
    <row r="476" ht="12" spans="1:1">
      <c r="A476" s="15"/>
    </row>
    <row r="477" ht="12"/>
    <row r="478" ht="12"/>
    <row r="479" ht="12"/>
    <row r="480" ht="12"/>
    <row r="481" ht="12"/>
    <row r="482" ht="12"/>
    <row r="483" ht="12"/>
    <row r="484" ht="12"/>
    <row r="485" ht="12"/>
    <row r="486" ht="12"/>
    <row r="487" ht="12"/>
    <row r="488" ht="12"/>
    <row r="489" ht="12"/>
    <row r="490" ht="12"/>
    <row r="491" ht="12"/>
    <row r="492" ht="12"/>
    <row r="493" ht="12"/>
    <row r="494" ht="12"/>
    <row r="495" ht="12"/>
    <row r="496" ht="12"/>
    <row r="497" ht="12"/>
    <row r="498" ht="12"/>
    <row r="499" ht="12"/>
    <row r="500" ht="12"/>
    <row r="501" ht="12"/>
    <row r="502" ht="12"/>
    <row r="503" ht="12"/>
    <row r="504" ht="12"/>
    <row r="505" ht="12"/>
    <row r="506" ht="12"/>
    <row r="507" ht="12"/>
    <row r="508" ht="12"/>
    <row r="509" ht="12"/>
    <row r="510" ht="12"/>
    <row r="511" ht="12"/>
    <row r="512" ht="12"/>
    <row r="513" ht="12"/>
    <row r="514" ht="12"/>
    <row r="515" ht="12"/>
    <row r="516" ht="12"/>
    <row r="517" ht="12"/>
    <row r="518" ht="12"/>
    <row r="519" ht="12"/>
    <row r="520" ht="12"/>
    <row r="521" ht="12"/>
    <row r="522" ht="12"/>
    <row r="523" ht="12"/>
    <row r="524" ht="12"/>
    <row r="525" ht="12"/>
    <row r="526" ht="12"/>
    <row r="527" ht="12"/>
    <row r="528" ht="12"/>
    <row r="529" ht="12"/>
    <row r="530" ht="12"/>
    <row r="531" ht="12"/>
    <row r="532" ht="12"/>
    <row r="533" ht="12"/>
    <row r="534" ht="12"/>
    <row r="535" ht="12"/>
    <row r="536" ht="12"/>
    <row r="537" ht="12"/>
    <row r="538" ht="12"/>
    <row r="539" ht="12"/>
    <row r="540" ht="12"/>
    <row r="541" ht="12"/>
    <row r="542" ht="12"/>
    <row r="543" ht="12"/>
    <row r="544" ht="12"/>
    <row r="545" ht="12"/>
    <row r="546" ht="12"/>
    <row r="547" ht="12"/>
    <row r="548" ht="12"/>
    <row r="549" ht="12"/>
    <row r="550" ht="12"/>
    <row r="551" ht="12"/>
    <row r="552" ht="12"/>
    <row r="553" ht="12"/>
    <row r="554" ht="12"/>
    <row r="555" ht="12"/>
    <row r="556" ht="12"/>
    <row r="557" ht="12"/>
    <row r="558" ht="12"/>
    <row r="559" ht="12"/>
    <row r="560" ht="12"/>
    <row r="561" ht="12"/>
    <row r="562" ht="12"/>
    <row r="563" ht="12"/>
    <row r="564" ht="12"/>
    <row r="565" ht="12"/>
    <row r="566" ht="12"/>
    <row r="567" ht="12"/>
    <row r="568" ht="12"/>
    <row r="569" ht="12"/>
    <row r="570" ht="12"/>
    <row r="571" ht="12"/>
    <row r="572" ht="12"/>
    <row r="573" ht="12"/>
    <row r="574" ht="12"/>
    <row r="575" ht="12"/>
    <row r="576" ht="12"/>
    <row r="577" ht="12"/>
    <row r="578" ht="12"/>
    <row r="579" ht="12"/>
    <row r="580" ht="12"/>
    <row r="581" ht="12"/>
    <row r="582" ht="12"/>
    <row r="583" ht="12"/>
    <row r="584" ht="12"/>
    <row r="585" ht="12"/>
    <row r="586" ht="12"/>
    <row r="587" ht="12"/>
    <row r="588" ht="12"/>
    <row r="589" ht="12"/>
    <row r="590" ht="12"/>
    <row r="591" ht="12"/>
    <row r="592" ht="12"/>
    <row r="593" ht="12"/>
    <row r="594" ht="12"/>
    <row r="595" ht="12"/>
    <row r="596" ht="12"/>
    <row r="597" ht="12"/>
    <row r="598" ht="12"/>
    <row r="599" ht="12"/>
    <row r="600" ht="12"/>
    <row r="601" ht="12"/>
    <row r="602" ht="12"/>
    <row r="603" ht="12"/>
    <row r="604" ht="12"/>
    <row r="605" ht="12"/>
    <row r="606" ht="12"/>
    <row r="607" ht="12"/>
    <row r="608" ht="12"/>
    <row r="609" ht="12"/>
    <row r="610" ht="12"/>
    <row r="611" ht="12"/>
    <row r="612" ht="12"/>
    <row r="613" ht="12"/>
    <row r="614" ht="12"/>
    <row r="615" ht="12"/>
    <row r="616" ht="12"/>
    <row r="617" ht="12"/>
    <row r="618" ht="12"/>
    <row r="619" ht="12"/>
    <row r="620" ht="12"/>
    <row r="621" ht="12"/>
    <row r="622" ht="12"/>
    <row r="623" ht="12"/>
    <row r="624" ht="12"/>
    <row r="625" ht="12"/>
    <row r="626" ht="12"/>
    <row r="627" ht="12"/>
    <row r="628" ht="12"/>
    <row r="629" ht="12"/>
  </sheetData>
  <autoFilter xmlns:etc="http://www.wps.cn/officeDocument/2017/etCustomData" ref="A1:F463" etc:filterBottomFollowUsedRange="0">
    <filterColumn colId="0">
      <customFilters>
        <customFilter operator="equal" val="单券集中度"/>
      </customFilters>
    </filterColumn>
    <extLst/>
  </autoFilter>
  <mergeCells count="169">
    <mergeCell ref="A2:A100"/>
    <mergeCell ref="A101:A202"/>
    <mergeCell ref="A203:A289"/>
    <mergeCell ref="A290:A323"/>
    <mergeCell ref="A324:A371"/>
    <mergeCell ref="A372:A419"/>
    <mergeCell ref="A420:A463"/>
    <mergeCell ref="B2:B6"/>
    <mergeCell ref="B7:B13"/>
    <mergeCell ref="B14:B17"/>
    <mergeCell ref="B18:B21"/>
    <mergeCell ref="B22:B25"/>
    <mergeCell ref="B26:B29"/>
    <mergeCell ref="B30:B35"/>
    <mergeCell ref="B36:B41"/>
    <mergeCell ref="B42:B47"/>
    <mergeCell ref="B48:B53"/>
    <mergeCell ref="B54:B59"/>
    <mergeCell ref="B60:B65"/>
    <mergeCell ref="B66:B71"/>
    <mergeCell ref="B72:B77"/>
    <mergeCell ref="B78:B82"/>
    <mergeCell ref="B83:B87"/>
    <mergeCell ref="B88:B94"/>
    <mergeCell ref="B95:B100"/>
    <mergeCell ref="B101:B105"/>
    <mergeCell ref="B106:B112"/>
    <mergeCell ref="B113:B116"/>
    <mergeCell ref="B117:B120"/>
    <mergeCell ref="B121:B124"/>
    <mergeCell ref="B125:B128"/>
    <mergeCell ref="B129:B132"/>
    <mergeCell ref="B133:B136"/>
    <mergeCell ref="B137:B142"/>
    <mergeCell ref="B143:B148"/>
    <mergeCell ref="B149:B154"/>
    <mergeCell ref="B155:B160"/>
    <mergeCell ref="B161:B166"/>
    <mergeCell ref="B167:B172"/>
    <mergeCell ref="B173:B178"/>
    <mergeCell ref="B179:B184"/>
    <mergeCell ref="B185:B189"/>
    <mergeCell ref="B190:B196"/>
    <mergeCell ref="B197:B202"/>
    <mergeCell ref="B203:B207"/>
    <mergeCell ref="B208:B214"/>
    <mergeCell ref="B215:B218"/>
    <mergeCell ref="B219:B224"/>
    <mergeCell ref="B225:B230"/>
    <mergeCell ref="B231:B236"/>
    <mergeCell ref="B237:B242"/>
    <mergeCell ref="B243:B248"/>
    <mergeCell ref="B249:B254"/>
    <mergeCell ref="B255:B260"/>
    <mergeCell ref="B261:B266"/>
    <mergeCell ref="B267:B271"/>
    <mergeCell ref="B272:B276"/>
    <mergeCell ref="B277:B283"/>
    <mergeCell ref="B284:B289"/>
    <mergeCell ref="B290:B293"/>
    <mergeCell ref="B294:B297"/>
    <mergeCell ref="B298:B301"/>
    <mergeCell ref="B302:B305"/>
    <mergeCell ref="B306:B311"/>
    <mergeCell ref="B312:B317"/>
    <mergeCell ref="B318:B323"/>
    <mergeCell ref="B324:B327"/>
    <mergeCell ref="B328:B331"/>
    <mergeCell ref="B332:B336"/>
    <mergeCell ref="B337:B340"/>
    <mergeCell ref="B341:B349"/>
    <mergeCell ref="B350:B359"/>
    <mergeCell ref="B360:B371"/>
    <mergeCell ref="B372:B375"/>
    <mergeCell ref="B376:B379"/>
    <mergeCell ref="B380:B384"/>
    <mergeCell ref="B385:B388"/>
    <mergeCell ref="B389:B397"/>
    <mergeCell ref="B398:B407"/>
    <mergeCell ref="B408:B419"/>
    <mergeCell ref="B420:B423"/>
    <mergeCell ref="B424:B428"/>
    <mergeCell ref="B429:B432"/>
    <mergeCell ref="B433:B441"/>
    <mergeCell ref="B442:B451"/>
    <mergeCell ref="B452:B463"/>
    <mergeCell ref="D18:D21"/>
    <mergeCell ref="D26:D29"/>
    <mergeCell ref="D121:D124"/>
    <mergeCell ref="D129:D132"/>
    <mergeCell ref="F2:F6"/>
    <mergeCell ref="F7:F13"/>
    <mergeCell ref="F14:F17"/>
    <mergeCell ref="F18:F21"/>
    <mergeCell ref="F22:F25"/>
    <mergeCell ref="F26:F29"/>
    <mergeCell ref="F30:F35"/>
    <mergeCell ref="F36:F41"/>
    <mergeCell ref="F42:F47"/>
    <mergeCell ref="F48:F53"/>
    <mergeCell ref="F54:F59"/>
    <mergeCell ref="F60:F65"/>
    <mergeCell ref="F66:F71"/>
    <mergeCell ref="F72:F77"/>
    <mergeCell ref="F78:F82"/>
    <mergeCell ref="F83:F87"/>
    <mergeCell ref="F88:F94"/>
    <mergeCell ref="F95:F100"/>
    <mergeCell ref="F101:F105"/>
    <mergeCell ref="F106:F112"/>
    <mergeCell ref="F113:F116"/>
    <mergeCell ref="F117:F120"/>
    <mergeCell ref="F121:F124"/>
    <mergeCell ref="F125:F128"/>
    <mergeCell ref="F129:F132"/>
    <mergeCell ref="F133:F136"/>
    <mergeCell ref="F137:F142"/>
    <mergeCell ref="F143:F148"/>
    <mergeCell ref="F149:F154"/>
    <mergeCell ref="F155:F160"/>
    <mergeCell ref="F161:F166"/>
    <mergeCell ref="F167:F172"/>
    <mergeCell ref="F173:F178"/>
    <mergeCell ref="F179:F184"/>
    <mergeCell ref="F185:F189"/>
    <mergeCell ref="F190:F196"/>
    <mergeCell ref="F197:F202"/>
    <mergeCell ref="F203:F207"/>
    <mergeCell ref="F208:F214"/>
    <mergeCell ref="F215:F218"/>
    <mergeCell ref="F219:F224"/>
    <mergeCell ref="F225:F230"/>
    <mergeCell ref="F231:F236"/>
    <mergeCell ref="F237:F242"/>
    <mergeCell ref="F243:F248"/>
    <mergeCell ref="F249:F254"/>
    <mergeCell ref="F255:F260"/>
    <mergeCell ref="F261:F266"/>
    <mergeCell ref="F267:F271"/>
    <mergeCell ref="F272:F276"/>
    <mergeCell ref="F277:F283"/>
    <mergeCell ref="F284:F289"/>
    <mergeCell ref="F290:F293"/>
    <mergeCell ref="F294:F297"/>
    <mergeCell ref="F298:F301"/>
    <mergeCell ref="F302:F305"/>
    <mergeCell ref="F306:F311"/>
    <mergeCell ref="F312:F317"/>
    <mergeCell ref="F318:F323"/>
    <mergeCell ref="F324:F327"/>
    <mergeCell ref="F328:F331"/>
    <mergeCell ref="F332:F336"/>
    <mergeCell ref="F337:F340"/>
    <mergeCell ref="F341:F349"/>
    <mergeCell ref="F350:F359"/>
    <mergeCell ref="F360:F371"/>
    <mergeCell ref="F372:F375"/>
    <mergeCell ref="F376:F379"/>
    <mergeCell ref="F380:F384"/>
    <mergeCell ref="F385:F388"/>
    <mergeCell ref="F389:F397"/>
    <mergeCell ref="F398:F407"/>
    <mergeCell ref="F408:F419"/>
    <mergeCell ref="F420:F423"/>
    <mergeCell ref="F424:F428"/>
    <mergeCell ref="F429:F432"/>
    <mergeCell ref="F433:F441"/>
    <mergeCell ref="F442:F451"/>
    <mergeCell ref="F452:F46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风控单位"/>
  <dimension ref="B1:B3"/>
  <sheetViews>
    <sheetView workbookViewId="0">
      <selection activeCell="A1" sqref="A1"/>
    </sheetView>
  </sheetViews>
  <sheetFormatPr defaultColWidth="14" defaultRowHeight="18" customHeight="1" outlineLevelRow="2" outlineLevelCol="1"/>
  <sheetData>
    <row r="1" customHeight="1" spans="2:2">
      <c r="B1" t="s">
        <v>174</v>
      </c>
    </row>
    <row r="3" customHeight="1" spans="2:2">
      <c r="B3" t="s">
        <v>175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用例库（流水数据）"/>
  <dimension ref="A1:AQ9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8" customHeight="1"/>
  <cols>
    <col min="1" max="1" width="8.89814814814815" style="14" customWidth="1"/>
    <col min="2" max="2" width="53.5648148148148" style="15" customWidth="1"/>
    <col min="3" max="3" width="16.7222222222222" style="15" customWidth="1"/>
    <col min="4" max="4" width="17.3981481481481" style="16" customWidth="1"/>
    <col min="5" max="5" width="18.75" style="16" customWidth="1"/>
    <col min="6" max="6" width="20.1018518518519" style="15" customWidth="1"/>
    <col min="7" max="7" width="21.0462962962963" style="15" customWidth="1"/>
    <col min="8" max="8" width="10.5277777777778" style="15" customWidth="1"/>
    <col min="9" max="9" width="12.6851851851852" style="15" customWidth="1"/>
    <col min="10" max="10" width="10.7962962962963" style="15" customWidth="1"/>
    <col min="11" max="11" width="11.6018518518519" style="15" customWidth="1"/>
    <col min="12" max="12" width="9.71296296296296" style="15" customWidth="1"/>
    <col min="13" max="13" width="9.02777777777778" style="15" customWidth="1"/>
    <col min="14" max="14" width="11.7314814814815" style="15" customWidth="1"/>
    <col min="15" max="15" width="15.9166666666667" style="15" customWidth="1"/>
    <col min="16" max="16" width="15.7777777777778" style="15" customWidth="1"/>
    <col min="17" max="17" width="10.25" style="15" customWidth="1"/>
    <col min="18" max="18" width="14.8333333333333" style="15" customWidth="1"/>
    <col min="19" max="19" width="19.1481481481481" style="15" customWidth="1"/>
    <col min="20" max="20" width="16.1851851851852" style="15" customWidth="1"/>
    <col min="21" max="21" width="11.1944444444444" style="15" customWidth="1"/>
    <col min="22" max="22" width="12.8148148148148" style="15" customWidth="1"/>
    <col min="23" max="23" width="18.0740740740741" style="15" customWidth="1"/>
    <col min="24" max="24" width="19.2777777777778" style="15" customWidth="1"/>
    <col min="25" max="25" width="15.2407407407407" style="15" customWidth="1"/>
    <col min="26" max="26" width="19.8240740740741" style="15" customWidth="1"/>
    <col min="27" max="27" width="16.0462962962963" style="15" customWidth="1"/>
    <col min="28" max="28" width="15.7777777777778" style="15" customWidth="1"/>
    <col min="29" max="29" width="18.212962962963" style="15" customWidth="1"/>
    <col min="30" max="30" width="13.8888888888889" style="15" customWidth="1"/>
    <col min="31" max="31" width="13.6203703703704" style="15" customWidth="1"/>
    <col min="32" max="32" width="16.5925925925926" style="15" customWidth="1"/>
    <col min="33" max="33" width="14.9722222222222" style="15" customWidth="1"/>
    <col min="34" max="34" width="13.212962962963" style="15" customWidth="1"/>
    <col min="35" max="35" width="14.7037037037037" style="15" customWidth="1"/>
    <col min="36" max="38" width="13.6759259259259" style="13"/>
    <col min="39" max="39" width="27.7962962962963" style="19" customWidth="1"/>
    <col min="40" max="43" width="13.6759259259259" style="13"/>
  </cols>
  <sheetData>
    <row r="1" s="2" customFormat="1" ht="44.25" customHeight="1" spans="1:43">
      <c r="A1" s="20" t="s">
        <v>0</v>
      </c>
      <c r="B1" s="23" t="s">
        <v>1</v>
      </c>
      <c r="C1" s="23" t="s">
        <v>2</v>
      </c>
      <c r="D1" s="23" t="s">
        <v>176</v>
      </c>
      <c r="E1" s="23" t="s">
        <v>3</v>
      </c>
      <c r="F1" s="22" t="s">
        <v>147</v>
      </c>
      <c r="G1" s="22" t="s">
        <v>177</v>
      </c>
      <c r="H1" s="22" t="s">
        <v>178</v>
      </c>
      <c r="I1" s="22" t="s">
        <v>179</v>
      </c>
      <c r="J1" s="22" t="s">
        <v>180</v>
      </c>
      <c r="K1" s="22" t="s">
        <v>181</v>
      </c>
      <c r="L1" s="22" t="s">
        <v>182</v>
      </c>
      <c r="M1" s="22" t="s">
        <v>183</v>
      </c>
      <c r="N1" s="22" t="s">
        <v>184</v>
      </c>
      <c r="O1" s="22" t="s">
        <v>147</v>
      </c>
      <c r="P1" s="23" t="s">
        <v>185</v>
      </c>
      <c r="Q1" s="23" t="s">
        <v>186</v>
      </c>
      <c r="R1" s="23" t="s">
        <v>187</v>
      </c>
      <c r="S1" s="23" t="s">
        <v>188</v>
      </c>
      <c r="T1" s="23" t="s">
        <v>189</v>
      </c>
      <c r="U1" s="23" t="s">
        <v>190</v>
      </c>
      <c r="V1" s="22" t="s">
        <v>191</v>
      </c>
      <c r="W1" s="22" t="s">
        <v>192</v>
      </c>
      <c r="X1" s="22" t="s">
        <v>193</v>
      </c>
      <c r="Y1" s="22" t="s">
        <v>194</v>
      </c>
      <c r="Z1" s="22" t="s">
        <v>195</v>
      </c>
      <c r="AA1" s="23" t="s">
        <v>196</v>
      </c>
      <c r="AB1" s="23" t="s">
        <v>197</v>
      </c>
      <c r="AC1" s="23" t="s">
        <v>198</v>
      </c>
      <c r="AD1" s="23" t="s">
        <v>199</v>
      </c>
      <c r="AE1" s="23" t="s">
        <v>200</v>
      </c>
      <c r="AF1" s="23" t="s">
        <v>201</v>
      </c>
      <c r="AG1" s="23" t="s">
        <v>202</v>
      </c>
      <c r="AH1" s="23" t="s">
        <v>203</v>
      </c>
      <c r="AI1" s="23" t="s">
        <v>204</v>
      </c>
      <c r="AJ1" s="23" t="s">
        <v>205</v>
      </c>
      <c r="AK1" s="23" t="s">
        <v>206</v>
      </c>
      <c r="AL1" s="23" t="s">
        <v>207</v>
      </c>
      <c r="AM1" s="23" t="s">
        <v>208</v>
      </c>
      <c r="AN1" s="22" t="s">
        <v>209</v>
      </c>
      <c r="AO1" s="22" t="s">
        <v>210</v>
      </c>
      <c r="AP1" s="22" t="s">
        <v>211</v>
      </c>
      <c r="AQ1" s="23" t="s">
        <v>212</v>
      </c>
    </row>
    <row r="2" s="11" customFormat="1" ht="24.75" customHeight="1" spans="1:43">
      <c r="A2" s="416">
        <v>1</v>
      </c>
      <c r="B2" s="417" t="s">
        <v>6</v>
      </c>
      <c r="C2" s="144" t="s">
        <v>7</v>
      </c>
      <c r="D2" s="113"/>
      <c r="E2" s="16" t="s">
        <v>213</v>
      </c>
      <c r="F2" s="418"/>
      <c r="G2" s="418"/>
      <c r="H2" s="418">
        <v>2000</v>
      </c>
      <c r="I2" s="425">
        <v>743202</v>
      </c>
      <c r="J2" s="426">
        <v>0.0027</v>
      </c>
      <c r="K2" s="425">
        <v>19824680</v>
      </c>
      <c r="L2" s="425">
        <v>2000</v>
      </c>
      <c r="M2" s="425">
        <v>2000</v>
      </c>
      <c r="N2" s="425">
        <v>2000</v>
      </c>
      <c r="O2" s="163" t="s">
        <v>214</v>
      </c>
      <c r="P2" s="427">
        <v>45840</v>
      </c>
      <c r="Q2" s="226" t="s">
        <v>215</v>
      </c>
      <c r="R2" s="226" t="s">
        <v>216</v>
      </c>
      <c r="S2" s="433" t="s">
        <v>217</v>
      </c>
      <c r="T2" s="433"/>
      <c r="U2" s="226">
        <v>99.1234</v>
      </c>
      <c r="V2" s="434">
        <v>2000</v>
      </c>
      <c r="W2" s="226">
        <v>101.76</v>
      </c>
      <c r="X2" s="434">
        <v>20352006.03</v>
      </c>
      <c r="Y2" s="226">
        <v>3.1208</v>
      </c>
      <c r="Z2" s="163"/>
      <c r="AA2" s="434"/>
      <c r="AB2" s="434"/>
      <c r="AC2" s="226" t="s">
        <v>218</v>
      </c>
      <c r="AD2" s="226">
        <v>2.63663</v>
      </c>
      <c r="AE2" s="434">
        <v>527326.03</v>
      </c>
      <c r="AF2" s="226" t="s">
        <v>219</v>
      </c>
      <c r="AG2" s="164"/>
      <c r="AH2" s="164"/>
      <c r="AI2" s="164"/>
      <c r="AJ2" s="441"/>
      <c r="AK2" s="441"/>
      <c r="AL2" s="441"/>
      <c r="AM2" s="442" t="s">
        <v>220</v>
      </c>
      <c r="AN2" s="10" t="s">
        <v>221</v>
      </c>
      <c r="AO2" s="10" t="s">
        <v>222</v>
      </c>
      <c r="AP2" s="10"/>
      <c r="AQ2" s="10"/>
    </row>
    <row r="3" s="11" customFormat="1" ht="33.75" customHeight="1" spans="1:43">
      <c r="A3" s="138"/>
      <c r="B3" s="127"/>
      <c r="C3" s="15" t="s">
        <v>7</v>
      </c>
      <c r="D3" s="16"/>
      <c r="E3" s="16" t="s">
        <v>223</v>
      </c>
      <c r="F3" s="419"/>
      <c r="G3" s="419"/>
      <c r="H3" s="419" t="s">
        <v>224</v>
      </c>
      <c r="I3" s="419" t="s">
        <v>225</v>
      </c>
      <c r="J3" s="419" t="s">
        <v>226</v>
      </c>
      <c r="K3" s="419" t="s">
        <v>227</v>
      </c>
      <c r="L3" s="419" t="s">
        <v>224</v>
      </c>
      <c r="M3" s="419" t="s">
        <v>224</v>
      </c>
      <c r="N3" s="419" t="s">
        <v>224</v>
      </c>
      <c r="O3" s="213" t="s">
        <v>228</v>
      </c>
      <c r="P3" s="427">
        <v>45840</v>
      </c>
      <c r="Q3" s="226" t="s">
        <v>215</v>
      </c>
      <c r="R3" s="226" t="s">
        <v>216</v>
      </c>
      <c r="S3" s="433" t="s">
        <v>217</v>
      </c>
      <c r="T3" s="433"/>
      <c r="U3" s="226">
        <v>99.1234</v>
      </c>
      <c r="V3" s="435" t="s">
        <v>229</v>
      </c>
      <c r="W3" s="226">
        <v>101.76</v>
      </c>
      <c r="X3" s="434">
        <v>50880015.07</v>
      </c>
      <c r="Y3" s="226">
        <v>3.1208</v>
      </c>
      <c r="Z3" s="163"/>
      <c r="AA3" s="226"/>
      <c r="AB3" s="226"/>
      <c r="AC3" s="226" t="s">
        <v>218</v>
      </c>
      <c r="AD3" s="226">
        <v>2.63663</v>
      </c>
      <c r="AE3" s="434">
        <v>1318315.07</v>
      </c>
      <c r="AF3" s="226" t="s">
        <v>219</v>
      </c>
      <c r="AG3" s="163"/>
      <c r="AH3" s="163"/>
      <c r="AI3" s="163"/>
      <c r="AJ3" s="10"/>
      <c r="AK3" s="10"/>
      <c r="AL3" s="10"/>
      <c r="AM3" s="337" t="s">
        <v>220</v>
      </c>
      <c r="AN3" s="10" t="s">
        <v>221</v>
      </c>
      <c r="AO3" s="10" t="s">
        <v>222</v>
      </c>
      <c r="AP3" s="10"/>
      <c r="AQ3" s="10"/>
    </row>
    <row r="4" s="11" customFormat="1" ht="31.5" customHeight="1" spans="1:43">
      <c r="A4" s="138"/>
      <c r="B4" s="127"/>
      <c r="C4" s="15" t="s">
        <v>12</v>
      </c>
      <c r="D4" s="16"/>
      <c r="E4" s="16" t="s">
        <v>213</v>
      </c>
      <c r="F4" s="418"/>
      <c r="G4" s="418"/>
      <c r="H4" s="418">
        <v>3000</v>
      </c>
      <c r="I4" s="419" t="s">
        <v>230</v>
      </c>
      <c r="J4" s="57"/>
      <c r="K4" s="227"/>
      <c r="L4" s="226"/>
      <c r="M4" s="58"/>
      <c r="N4" s="263"/>
      <c r="O4" s="163" t="s">
        <v>214</v>
      </c>
      <c r="P4" s="427">
        <v>45840</v>
      </c>
      <c r="Q4" s="226" t="s">
        <v>215</v>
      </c>
      <c r="R4" s="226" t="s">
        <v>216</v>
      </c>
      <c r="S4" s="433" t="s">
        <v>217</v>
      </c>
      <c r="T4" s="433"/>
      <c r="U4" s="226">
        <v>99.5678</v>
      </c>
      <c r="V4" s="434">
        <v>3000</v>
      </c>
      <c r="W4" s="226">
        <v>102.2044</v>
      </c>
      <c r="X4" s="434">
        <v>30661329.04</v>
      </c>
      <c r="Y4" s="226">
        <v>3.003</v>
      </c>
      <c r="Z4" s="163"/>
      <c r="AA4" s="226"/>
      <c r="AB4" s="226"/>
      <c r="AC4" s="226" t="s">
        <v>218</v>
      </c>
      <c r="AD4" s="226">
        <v>2.63663</v>
      </c>
      <c r="AE4" s="434">
        <v>790989.04</v>
      </c>
      <c r="AF4" s="226" t="s">
        <v>219</v>
      </c>
      <c r="AG4" s="163"/>
      <c r="AH4" s="163"/>
      <c r="AI4" s="163"/>
      <c r="AJ4" s="10"/>
      <c r="AK4" s="10"/>
      <c r="AL4" s="10"/>
      <c r="AM4" s="337" t="s">
        <v>220</v>
      </c>
      <c r="AN4" s="10" t="s">
        <v>221</v>
      </c>
      <c r="AO4" s="10" t="s">
        <v>222</v>
      </c>
      <c r="AP4" s="10"/>
      <c r="AQ4" s="10"/>
    </row>
    <row r="5" s="11" customFormat="1" ht="42.75" customHeight="1" spans="1:43">
      <c r="A5" s="138"/>
      <c r="B5" s="127"/>
      <c r="C5" s="15" t="s">
        <v>13</v>
      </c>
      <c r="D5" s="16"/>
      <c r="E5" s="16" t="s">
        <v>213</v>
      </c>
      <c r="F5" s="58"/>
      <c r="G5" s="58"/>
      <c r="H5" s="58"/>
      <c r="I5" s="369">
        <v>743202</v>
      </c>
      <c r="J5" s="426">
        <v>0.004</v>
      </c>
      <c r="K5" s="425">
        <v>29737020</v>
      </c>
      <c r="L5" s="226"/>
      <c r="M5" s="58"/>
      <c r="N5" s="263"/>
      <c r="O5" s="163" t="s">
        <v>214</v>
      </c>
      <c r="P5" s="427">
        <v>45841</v>
      </c>
      <c r="Q5" s="226" t="s">
        <v>215</v>
      </c>
      <c r="R5" s="226" t="s">
        <v>216</v>
      </c>
      <c r="S5" s="433" t="s">
        <v>217</v>
      </c>
      <c r="T5" s="433"/>
      <c r="U5" s="226">
        <v>99.1234</v>
      </c>
      <c r="V5" s="436">
        <v>1500</v>
      </c>
      <c r="W5" s="226">
        <v>101.7759</v>
      </c>
      <c r="X5" s="434">
        <v>15266379.86</v>
      </c>
      <c r="Y5" s="226">
        <v>3.1211</v>
      </c>
      <c r="Z5" s="163"/>
      <c r="AA5" s="226"/>
      <c r="AB5" s="226"/>
      <c r="AC5" s="226" t="s">
        <v>231</v>
      </c>
      <c r="AD5" s="226">
        <v>2.65247</v>
      </c>
      <c r="AE5" s="434">
        <v>397869.86</v>
      </c>
      <c r="AF5" s="226" t="s">
        <v>219</v>
      </c>
      <c r="AG5" s="163"/>
      <c r="AH5" s="163"/>
      <c r="AI5" s="163"/>
      <c r="AJ5" s="10"/>
      <c r="AK5" s="10"/>
      <c r="AL5" s="10"/>
      <c r="AM5" s="337" t="s">
        <v>220</v>
      </c>
      <c r="AN5" s="10" t="s">
        <v>221</v>
      </c>
      <c r="AO5" s="10" t="s">
        <v>222</v>
      </c>
      <c r="AP5" s="10"/>
      <c r="AQ5" s="10"/>
    </row>
    <row r="6" s="10" customFormat="1" ht="44.25" customHeight="1" spans="1:41">
      <c r="A6" s="138"/>
      <c r="B6" s="127"/>
      <c r="C6" s="15" t="s">
        <v>15</v>
      </c>
      <c r="D6" s="16"/>
      <c r="E6" s="16" t="s">
        <v>213</v>
      </c>
      <c r="F6" s="418"/>
      <c r="G6" s="418"/>
      <c r="H6" s="418">
        <v>3000</v>
      </c>
      <c r="I6" s="369">
        <v>743202</v>
      </c>
      <c r="J6" s="57"/>
      <c r="K6" s="226"/>
      <c r="L6" s="163"/>
      <c r="M6" s="163"/>
      <c r="N6" s="263"/>
      <c r="O6" s="163" t="s">
        <v>214</v>
      </c>
      <c r="P6" s="427">
        <v>45841</v>
      </c>
      <c r="Q6" s="226" t="s">
        <v>215</v>
      </c>
      <c r="R6" s="226" t="s">
        <v>216</v>
      </c>
      <c r="S6" s="433" t="s">
        <v>217</v>
      </c>
      <c r="T6" s="437"/>
      <c r="U6" s="226">
        <v>99.6666</v>
      </c>
      <c r="V6" s="434">
        <v>3000</v>
      </c>
      <c r="W6" s="226">
        <v>102.3191</v>
      </c>
      <c r="X6" s="434">
        <v>30695719.73</v>
      </c>
      <c r="Y6" s="226">
        <v>2.9771</v>
      </c>
      <c r="Z6" s="163"/>
      <c r="AA6" s="437"/>
      <c r="AB6" s="163"/>
      <c r="AC6" s="226" t="s">
        <v>231</v>
      </c>
      <c r="AD6" s="226">
        <v>2.65247</v>
      </c>
      <c r="AE6" s="434">
        <v>795739.73</v>
      </c>
      <c r="AF6" s="226" t="s">
        <v>219</v>
      </c>
      <c r="AG6" s="163"/>
      <c r="AH6" s="163"/>
      <c r="AI6" s="163"/>
      <c r="AJ6" s="10"/>
      <c r="AK6" s="10"/>
      <c r="AL6" s="10"/>
      <c r="AM6" s="337" t="s">
        <v>220</v>
      </c>
      <c r="AN6" s="10" t="s">
        <v>221</v>
      </c>
      <c r="AO6" s="10" t="s">
        <v>222</v>
      </c>
    </row>
    <row r="7" s="415" customFormat="1" ht="44.25" customHeight="1" spans="1:41">
      <c r="A7" s="138"/>
      <c r="B7" s="127"/>
      <c r="C7" s="420" t="s">
        <v>13</v>
      </c>
      <c r="D7" s="421"/>
      <c r="E7" s="421" t="s">
        <v>232</v>
      </c>
      <c r="F7" s="422"/>
      <c r="G7" s="422"/>
      <c r="H7" s="422"/>
      <c r="I7" s="428" t="s">
        <v>230</v>
      </c>
      <c r="J7" s="429"/>
      <c r="K7" s="415"/>
      <c r="L7" s="430"/>
      <c r="M7" s="430"/>
      <c r="N7" s="431"/>
      <c r="O7" s="430" t="s">
        <v>233</v>
      </c>
      <c r="P7" s="432">
        <v>45842</v>
      </c>
      <c r="Q7" s="415" t="s">
        <v>215</v>
      </c>
      <c r="R7" s="415" t="s">
        <v>216</v>
      </c>
      <c r="S7" s="438" t="s">
        <v>217</v>
      </c>
      <c r="T7" s="439"/>
      <c r="U7" s="415">
        <v>99.1111</v>
      </c>
      <c r="V7" s="440">
        <v>4000</v>
      </c>
      <c r="W7" s="415">
        <v>101.7873</v>
      </c>
      <c r="X7" s="440">
        <v>40714927.67</v>
      </c>
      <c r="Y7" s="415">
        <v>3.1249</v>
      </c>
      <c r="Z7" s="430"/>
      <c r="AA7" s="439"/>
      <c r="AB7" s="430"/>
      <c r="AC7" s="415" t="s">
        <v>231</v>
      </c>
      <c r="AD7" s="415">
        <v>2.67622</v>
      </c>
      <c r="AE7" s="440">
        <v>1070487.67</v>
      </c>
      <c r="AF7" s="415" t="s">
        <v>219</v>
      </c>
      <c r="AG7" s="430"/>
      <c r="AH7" s="430"/>
      <c r="AI7" s="430"/>
      <c r="AJ7" s="415"/>
      <c r="AK7" s="415"/>
      <c r="AL7" s="415"/>
      <c r="AM7" s="443" t="s">
        <v>234</v>
      </c>
      <c r="AN7" s="415" t="s">
        <v>221</v>
      </c>
      <c r="AO7" s="415" t="s">
        <v>222</v>
      </c>
    </row>
    <row r="8" s="10" customFormat="1" ht="44.25" customHeight="1" spans="1:41">
      <c r="A8" s="138"/>
      <c r="B8" s="127"/>
      <c r="C8" s="15" t="s">
        <v>15</v>
      </c>
      <c r="D8" s="16"/>
      <c r="E8" s="16" t="s">
        <v>232</v>
      </c>
      <c r="F8" s="418"/>
      <c r="G8" s="418"/>
      <c r="H8" s="418">
        <v>4000</v>
      </c>
      <c r="I8" s="419" t="s">
        <v>230</v>
      </c>
      <c r="J8" s="426"/>
      <c r="K8" s="226"/>
      <c r="L8" s="163"/>
      <c r="M8" s="163"/>
      <c r="N8" s="163"/>
      <c r="O8" s="163" t="s">
        <v>233</v>
      </c>
      <c r="P8" s="427">
        <v>45846</v>
      </c>
      <c r="Q8" s="226" t="s">
        <v>215</v>
      </c>
      <c r="R8" s="226" t="s">
        <v>216</v>
      </c>
      <c r="S8" s="433" t="s">
        <v>217</v>
      </c>
      <c r="T8" s="437"/>
      <c r="U8" s="226">
        <v>99.3333</v>
      </c>
      <c r="V8" s="434">
        <v>4000</v>
      </c>
      <c r="W8" s="226">
        <v>102.0174</v>
      </c>
      <c r="X8" s="434">
        <v>40806974.79</v>
      </c>
      <c r="Y8" s="226">
        <v>3.0659</v>
      </c>
      <c r="Z8" s="163"/>
      <c r="AA8" s="437"/>
      <c r="AB8" s="163"/>
      <c r="AC8" s="226" t="s">
        <v>231</v>
      </c>
      <c r="AD8" s="226">
        <v>2.68414</v>
      </c>
      <c r="AE8" s="434">
        <v>1073654.79</v>
      </c>
      <c r="AF8" s="226" t="s">
        <v>219</v>
      </c>
      <c r="AG8" s="163"/>
      <c r="AH8" s="163"/>
      <c r="AI8" s="163"/>
      <c r="AJ8" s="10"/>
      <c r="AK8" s="10"/>
      <c r="AL8" s="10"/>
      <c r="AM8" s="337" t="s">
        <v>234</v>
      </c>
      <c r="AN8" s="10" t="s">
        <v>221</v>
      </c>
      <c r="AO8" s="10" t="s">
        <v>222</v>
      </c>
    </row>
    <row r="9" s="10" customFormat="1" ht="29.25" customHeight="1" spans="1:41">
      <c r="A9" s="423"/>
      <c r="B9" s="417"/>
      <c r="C9" s="15" t="s">
        <v>13</v>
      </c>
      <c r="D9" s="16"/>
      <c r="E9" s="16" t="s">
        <v>235</v>
      </c>
      <c r="F9" s="163"/>
      <c r="G9" s="163"/>
      <c r="H9" s="163"/>
      <c r="I9" s="419" t="s">
        <v>230</v>
      </c>
      <c r="J9" s="426">
        <v>0.0027</v>
      </c>
      <c r="K9" s="425">
        <v>19891340</v>
      </c>
      <c r="L9" s="425">
        <v>2000</v>
      </c>
      <c r="M9" s="425"/>
      <c r="N9" s="425"/>
      <c r="O9" s="163" t="s">
        <v>236</v>
      </c>
      <c r="P9" s="427">
        <v>45846</v>
      </c>
      <c r="Q9" s="226" t="s">
        <v>215</v>
      </c>
      <c r="R9" s="226" t="s">
        <v>216</v>
      </c>
      <c r="S9" s="433" t="s">
        <v>237</v>
      </c>
      <c r="T9" s="437"/>
      <c r="U9" s="226">
        <v>99.4567</v>
      </c>
      <c r="V9" s="434">
        <v>2000</v>
      </c>
      <c r="W9" s="226">
        <v>102.1408</v>
      </c>
      <c r="X9" s="434">
        <v>20428167.4</v>
      </c>
      <c r="Y9" s="226">
        <v>3.0331</v>
      </c>
      <c r="Z9" s="163"/>
      <c r="AA9" s="437"/>
      <c r="AB9" s="163"/>
      <c r="AC9" s="226" t="s">
        <v>218</v>
      </c>
      <c r="AD9" s="226">
        <v>2.68414</v>
      </c>
      <c r="AE9" s="434">
        <v>536827.4</v>
      </c>
      <c r="AF9" s="226" t="s">
        <v>219</v>
      </c>
      <c r="AG9" s="163"/>
      <c r="AH9" s="163"/>
      <c r="AI9" s="163"/>
      <c r="AJ9" s="10"/>
      <c r="AK9" s="10"/>
      <c r="AL9" s="10"/>
      <c r="AM9" s="337" t="s">
        <v>220</v>
      </c>
      <c r="AN9" s="10" t="s">
        <v>238</v>
      </c>
      <c r="AO9" s="10" t="s">
        <v>222</v>
      </c>
    </row>
    <row r="10" s="10" customFormat="1" ht="29.25" customHeight="1" spans="1:41">
      <c r="A10" s="116"/>
      <c r="B10" s="103"/>
      <c r="C10" s="15" t="s">
        <v>15</v>
      </c>
      <c r="D10" s="16"/>
      <c r="E10" s="16" t="s">
        <v>239</v>
      </c>
      <c r="F10" s="418"/>
      <c r="G10" s="418"/>
      <c r="H10" s="418">
        <v>-2000</v>
      </c>
      <c r="I10" s="419" t="s">
        <v>230</v>
      </c>
      <c r="J10" s="57"/>
      <c r="K10" s="226"/>
      <c r="L10" s="163"/>
      <c r="M10" s="163"/>
      <c r="N10" s="263"/>
      <c r="O10" s="163" t="s">
        <v>236</v>
      </c>
      <c r="P10" s="427">
        <v>45846</v>
      </c>
      <c r="Q10" s="226" t="s">
        <v>215</v>
      </c>
      <c r="R10" s="226" t="s">
        <v>216</v>
      </c>
      <c r="S10" s="433" t="s">
        <v>237</v>
      </c>
      <c r="T10" s="437"/>
      <c r="U10" s="226">
        <v>99.7777</v>
      </c>
      <c r="V10" s="434">
        <v>4000</v>
      </c>
      <c r="W10" s="226">
        <v>102.4618</v>
      </c>
      <c r="X10" s="434">
        <v>40984734.79</v>
      </c>
      <c r="Y10" s="226">
        <v>2.948</v>
      </c>
      <c r="Z10" s="163"/>
      <c r="AA10" s="437"/>
      <c r="AB10" s="163"/>
      <c r="AC10" s="226" t="s">
        <v>218</v>
      </c>
      <c r="AD10" s="226">
        <v>2.68414</v>
      </c>
      <c r="AE10" s="434">
        <v>1073654.79</v>
      </c>
      <c r="AF10" s="226" t="s">
        <v>219</v>
      </c>
      <c r="AG10" s="163"/>
      <c r="AH10" s="163"/>
      <c r="AI10" s="163"/>
      <c r="AJ10" s="10"/>
      <c r="AK10" s="10"/>
      <c r="AL10" s="10"/>
      <c r="AM10" s="337" t="s">
        <v>220</v>
      </c>
      <c r="AN10" s="10" t="s">
        <v>238</v>
      </c>
      <c r="AO10" s="10" t="s">
        <v>222</v>
      </c>
    </row>
    <row r="11" s="10" customFormat="1" ht="29.25" customHeight="1" spans="1:39">
      <c r="A11" s="414">
        <v>2</v>
      </c>
      <c r="B11" s="19" t="s">
        <v>162</v>
      </c>
      <c r="C11" s="424" t="s">
        <v>7</v>
      </c>
      <c r="D11" s="424"/>
      <c r="E11" s="16"/>
      <c r="F11" s="163"/>
      <c r="G11" s="163"/>
      <c r="H11" s="163"/>
      <c r="I11" s="58"/>
      <c r="J11" s="57"/>
      <c r="K11" s="226"/>
      <c r="L11" s="163"/>
      <c r="M11" s="163"/>
      <c r="N11" s="263"/>
      <c r="O11" s="163"/>
      <c r="P11" s="213"/>
      <c r="Q11" s="163"/>
      <c r="R11" s="226"/>
      <c r="S11" s="437"/>
      <c r="T11" s="437"/>
      <c r="U11" s="163"/>
      <c r="V11" s="163"/>
      <c r="W11" s="163"/>
      <c r="X11" s="163"/>
      <c r="Y11" s="163"/>
      <c r="Z11" s="163"/>
      <c r="AA11" s="437"/>
      <c r="AB11" s="163"/>
      <c r="AC11" s="163"/>
      <c r="AD11" s="163"/>
      <c r="AE11" s="163"/>
      <c r="AF11" s="163"/>
      <c r="AG11" s="163"/>
      <c r="AH11" s="163"/>
      <c r="AI11" s="163"/>
      <c r="AJ11" s="10"/>
      <c r="AK11" s="10"/>
      <c r="AL11" s="10"/>
      <c r="AM11" s="337"/>
    </row>
    <row r="12" s="10" customFormat="1" ht="30.75" customHeight="1" spans="1:39">
      <c r="A12" s="112"/>
      <c r="B12" s="13"/>
      <c r="C12" s="135" t="s">
        <v>7</v>
      </c>
      <c r="D12" s="135"/>
      <c r="E12" s="16"/>
      <c r="F12" s="163"/>
      <c r="G12" s="163"/>
      <c r="H12" s="163"/>
      <c r="I12" s="58"/>
      <c r="J12" s="57"/>
      <c r="K12" s="226"/>
      <c r="L12" s="163"/>
      <c r="M12" s="163"/>
      <c r="N12" s="263"/>
      <c r="O12" s="163"/>
      <c r="P12" s="213"/>
      <c r="Q12" s="163"/>
      <c r="R12" s="226"/>
      <c r="S12" s="437"/>
      <c r="T12" s="437"/>
      <c r="U12" s="163"/>
      <c r="V12" s="163"/>
      <c r="W12" s="163"/>
      <c r="X12" s="163"/>
      <c r="Y12" s="163"/>
      <c r="Z12" s="163"/>
      <c r="AA12" s="437"/>
      <c r="AB12" s="163"/>
      <c r="AC12" s="163"/>
      <c r="AD12" s="163"/>
      <c r="AE12" s="163"/>
      <c r="AF12" s="163"/>
      <c r="AG12" s="163"/>
      <c r="AH12" s="163"/>
      <c r="AI12" s="163"/>
      <c r="AJ12" s="10"/>
      <c r="AK12" s="10"/>
      <c r="AL12" s="10"/>
      <c r="AM12" s="337"/>
    </row>
    <row r="13" s="10" customFormat="1" ht="41.25" customHeight="1" spans="1:39">
      <c r="A13" s="112"/>
      <c r="B13" s="13"/>
      <c r="C13" s="135" t="s">
        <v>12</v>
      </c>
      <c r="D13" s="135"/>
      <c r="E13" s="16"/>
      <c r="F13" s="57"/>
      <c r="G13" s="57"/>
      <c r="H13" s="57"/>
      <c r="I13" s="58"/>
      <c r="J13" s="57"/>
      <c r="K13" s="226"/>
      <c r="L13" s="163"/>
      <c r="M13" s="163"/>
      <c r="N13" s="263"/>
      <c r="O13" s="163"/>
      <c r="P13" s="213"/>
      <c r="Q13" s="163"/>
      <c r="R13" s="226"/>
      <c r="S13" s="437"/>
      <c r="T13" s="437"/>
      <c r="U13" s="163"/>
      <c r="V13" s="163"/>
      <c r="W13" s="163"/>
      <c r="X13" s="163"/>
      <c r="Y13" s="163"/>
      <c r="Z13" s="163"/>
      <c r="AA13" s="437"/>
      <c r="AB13" s="163"/>
      <c r="AC13" s="163"/>
      <c r="AD13" s="163"/>
      <c r="AE13" s="163"/>
      <c r="AF13" s="163"/>
      <c r="AG13" s="163"/>
      <c r="AH13" s="163"/>
      <c r="AI13" s="163"/>
      <c r="AJ13" s="10"/>
      <c r="AK13" s="10"/>
      <c r="AL13" s="10"/>
      <c r="AM13" s="337"/>
    </row>
    <row r="14" s="10" customFormat="1" ht="33.75" customHeight="1" spans="1:39">
      <c r="A14" s="112"/>
      <c r="B14" s="13"/>
      <c r="C14" s="135" t="s">
        <v>7</v>
      </c>
      <c r="D14" s="135"/>
      <c r="E14" s="16"/>
      <c r="F14" s="57"/>
      <c r="G14" s="57"/>
      <c r="H14" s="57"/>
      <c r="I14" s="58"/>
      <c r="J14" s="57"/>
      <c r="K14" s="163"/>
      <c r="L14" s="163"/>
      <c r="M14" s="57"/>
      <c r="N14" s="254"/>
      <c r="O14" s="163"/>
      <c r="P14" s="57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0"/>
      <c r="AK14" s="10"/>
      <c r="AL14" s="10"/>
      <c r="AM14" s="337"/>
    </row>
    <row r="15" s="10" customFormat="1" ht="33.75" customHeight="1" spans="1:39">
      <c r="A15" s="112"/>
      <c r="B15" s="13"/>
      <c r="C15" s="135" t="s">
        <v>7</v>
      </c>
      <c r="D15" s="135"/>
      <c r="E15" s="16"/>
      <c r="F15" s="163"/>
      <c r="G15" s="163"/>
      <c r="H15" s="163"/>
      <c r="I15" s="58"/>
      <c r="J15" s="57"/>
      <c r="K15" s="163"/>
      <c r="L15" s="163"/>
      <c r="M15" s="57"/>
      <c r="N15" s="254"/>
      <c r="O15" s="163"/>
      <c r="P15" s="57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0"/>
      <c r="AK15" s="10"/>
      <c r="AL15" s="10"/>
      <c r="AM15" s="337"/>
    </row>
    <row r="16" s="10" customFormat="1" ht="24.75" customHeight="1" spans="1:39">
      <c r="A16" s="112"/>
      <c r="B16" s="13"/>
      <c r="C16" s="135" t="s">
        <v>13</v>
      </c>
      <c r="D16" s="135"/>
      <c r="E16" s="16"/>
      <c r="F16" s="57"/>
      <c r="G16" s="57"/>
      <c r="H16" s="57"/>
      <c r="I16" s="58"/>
      <c r="J16" s="57"/>
      <c r="K16" s="163"/>
      <c r="L16" s="163"/>
      <c r="M16" s="57"/>
      <c r="N16" s="254"/>
      <c r="O16" s="163"/>
      <c r="P16" s="57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0"/>
      <c r="AK16" s="10"/>
      <c r="AL16" s="10"/>
      <c r="AM16" s="337"/>
    </row>
    <row r="17" s="10" customFormat="1" customHeight="1" spans="1:39">
      <c r="A17" s="112"/>
      <c r="B17" s="13"/>
      <c r="C17" s="135" t="s">
        <v>15</v>
      </c>
      <c r="D17" s="135"/>
      <c r="E17" s="16"/>
      <c r="F17" s="163"/>
      <c r="G17" s="163"/>
      <c r="H17" s="163"/>
      <c r="I17" s="58"/>
      <c r="J17" s="57"/>
      <c r="K17" s="226"/>
      <c r="L17" s="163"/>
      <c r="M17" s="57"/>
      <c r="N17" s="254"/>
      <c r="P17" s="57"/>
      <c r="Q17" s="163"/>
      <c r="R17" s="226"/>
      <c r="S17" s="437"/>
      <c r="T17" s="437"/>
      <c r="U17" s="163"/>
      <c r="V17" s="163"/>
      <c r="W17" s="163"/>
      <c r="X17" s="163"/>
      <c r="Y17" s="163"/>
      <c r="Z17" s="163"/>
      <c r="AA17" s="437"/>
      <c r="AB17" s="163"/>
      <c r="AC17" s="163"/>
      <c r="AD17" s="163"/>
      <c r="AE17" s="163"/>
      <c r="AF17" s="163"/>
      <c r="AG17" s="163"/>
      <c r="AH17" s="163"/>
      <c r="AI17" s="163"/>
      <c r="AJ17" s="10"/>
      <c r="AK17" s="10"/>
      <c r="AL17" s="10"/>
      <c r="AM17" s="337"/>
    </row>
    <row r="18" customHeight="1" spans="1:3">
      <c r="A18" s="338">
        <v>3</v>
      </c>
      <c r="B18" s="19" t="s">
        <v>26</v>
      </c>
      <c r="C18" s="15" t="s">
        <v>27</v>
      </c>
    </row>
    <row r="19" customHeight="1" spans="1:15">
      <c r="A19" s="13"/>
      <c r="B19" s="13"/>
      <c r="C19" s="15" t="s">
        <v>28</v>
      </c>
      <c r="O19" s="163" t="s">
        <v>240</v>
      </c>
    </row>
    <row r="20" customHeight="1" spans="1:3">
      <c r="A20" s="13"/>
      <c r="B20" s="13"/>
      <c r="C20" s="15" t="s">
        <v>29</v>
      </c>
    </row>
    <row r="21" customHeight="1" spans="1:3">
      <c r="A21" s="13"/>
      <c r="B21" s="13"/>
      <c r="C21" s="15" t="s">
        <v>30</v>
      </c>
    </row>
    <row r="22" customHeight="1" spans="1:3">
      <c r="A22" s="338">
        <v>4</v>
      </c>
      <c r="B22" s="19" t="s">
        <v>32</v>
      </c>
      <c r="C22" s="15" t="s">
        <v>33</v>
      </c>
    </row>
    <row r="23" customHeight="1" spans="1:3">
      <c r="A23" s="13"/>
      <c r="B23" s="13"/>
      <c r="C23" s="15" t="s">
        <v>34</v>
      </c>
    </row>
    <row r="24" customHeight="1" spans="1:3">
      <c r="A24" s="13"/>
      <c r="B24" s="13"/>
      <c r="C24" s="15" t="s">
        <v>35</v>
      </c>
    </row>
    <row r="25" customHeight="1" spans="1:3">
      <c r="A25" s="13"/>
      <c r="B25" s="13"/>
      <c r="C25" s="15" t="s">
        <v>36</v>
      </c>
    </row>
    <row r="26" customHeight="1" spans="1:3">
      <c r="A26" s="338">
        <v>5</v>
      </c>
      <c r="B26" s="19" t="s">
        <v>45</v>
      </c>
      <c r="C26" s="15" t="s">
        <v>46</v>
      </c>
    </row>
    <row r="27" customHeight="1" spans="1:3">
      <c r="A27" s="13"/>
      <c r="B27" s="13"/>
      <c r="C27" s="15" t="s">
        <v>47</v>
      </c>
    </row>
    <row r="28" customHeight="1" spans="1:3">
      <c r="A28" s="13"/>
      <c r="B28" s="13"/>
      <c r="C28" s="15" t="s">
        <v>48</v>
      </c>
    </row>
    <row r="29" customHeight="1" spans="1:3">
      <c r="A29" s="13"/>
      <c r="B29" s="13"/>
      <c r="C29" s="15" t="s">
        <v>49</v>
      </c>
    </row>
    <row r="30" customHeight="1" spans="1:3">
      <c r="A30" s="338">
        <v>6</v>
      </c>
      <c r="B30" s="19" t="s">
        <v>57</v>
      </c>
      <c r="C30" s="15" t="s">
        <v>58</v>
      </c>
    </row>
    <row r="31" customHeight="1" spans="1:3">
      <c r="A31" s="13"/>
      <c r="B31" s="13"/>
      <c r="C31" s="15" t="s">
        <v>59</v>
      </c>
    </row>
    <row r="32" customHeight="1" spans="1:3">
      <c r="A32" s="13"/>
      <c r="B32" s="13"/>
      <c r="C32" s="15" t="s">
        <v>60</v>
      </c>
    </row>
    <row r="33" customHeight="1" spans="1:3">
      <c r="A33" s="13"/>
      <c r="B33" s="13"/>
      <c r="C33" s="15" t="s">
        <v>61</v>
      </c>
    </row>
    <row r="34" customHeight="1" spans="1:3">
      <c r="A34" s="338">
        <v>7</v>
      </c>
      <c r="B34" s="19" t="s">
        <v>63</v>
      </c>
      <c r="C34" s="15" t="s">
        <v>64</v>
      </c>
    </row>
    <row r="35" customHeight="1" spans="1:3">
      <c r="A35" s="13"/>
      <c r="B35" s="13"/>
      <c r="C35" s="15" t="s">
        <v>65</v>
      </c>
    </row>
    <row r="36" customHeight="1" spans="1:3">
      <c r="A36" s="13"/>
      <c r="B36" s="13"/>
      <c r="C36" s="15" t="s">
        <v>66</v>
      </c>
    </row>
    <row r="37" customHeight="1" spans="1:3">
      <c r="A37" s="13"/>
      <c r="B37" s="13"/>
      <c r="C37" s="15" t="s">
        <v>67</v>
      </c>
    </row>
    <row r="38" customHeight="1" spans="1:3">
      <c r="A38" s="338">
        <v>8</v>
      </c>
      <c r="B38" s="19" t="s">
        <v>69</v>
      </c>
      <c r="C38" s="15" t="s">
        <v>70</v>
      </c>
    </row>
    <row r="39" customHeight="1" spans="1:3">
      <c r="A39" s="13"/>
      <c r="B39" s="13"/>
      <c r="C39" s="15" t="s">
        <v>71</v>
      </c>
    </row>
    <row r="40" customHeight="1" spans="1:3">
      <c r="A40" s="13"/>
      <c r="B40" s="13"/>
      <c r="C40" s="15" t="s">
        <v>70</v>
      </c>
    </row>
    <row r="41" customHeight="1" spans="1:3">
      <c r="A41" s="13"/>
      <c r="B41" s="13"/>
      <c r="C41" s="15" t="s">
        <v>71</v>
      </c>
    </row>
    <row r="42" customHeight="1" spans="1:3">
      <c r="A42" s="338">
        <v>9</v>
      </c>
      <c r="B42" s="19" t="s">
        <v>69</v>
      </c>
      <c r="C42" s="15" t="s">
        <v>73</v>
      </c>
    </row>
    <row r="43" customHeight="1" spans="1:3">
      <c r="A43" s="13"/>
      <c r="B43" s="13"/>
      <c r="C43" s="15" t="s">
        <v>74</v>
      </c>
    </row>
    <row r="44" customHeight="1" spans="1:3">
      <c r="A44" s="13"/>
      <c r="B44" s="13"/>
      <c r="C44" s="15" t="s">
        <v>73</v>
      </c>
    </row>
    <row r="45" customHeight="1" spans="1:3">
      <c r="A45" s="13"/>
      <c r="B45" s="13"/>
      <c r="C45" s="15" t="s">
        <v>74</v>
      </c>
    </row>
    <row r="46" customHeight="1" spans="1:3">
      <c r="A46" s="338">
        <v>10</v>
      </c>
      <c r="B46" s="19" t="s">
        <v>75</v>
      </c>
      <c r="C46" s="15" t="s">
        <v>76</v>
      </c>
    </row>
    <row r="47" customHeight="1" spans="1:3">
      <c r="A47" s="13"/>
      <c r="B47" s="13"/>
      <c r="C47" s="15" t="s">
        <v>77</v>
      </c>
    </row>
    <row r="48" customHeight="1" spans="1:3">
      <c r="A48" s="13"/>
      <c r="B48" s="13"/>
      <c r="C48" s="15" t="s">
        <v>78</v>
      </c>
    </row>
    <row r="49" customHeight="1" spans="1:3">
      <c r="A49" s="13"/>
      <c r="B49" s="13"/>
      <c r="C49" s="15" t="s">
        <v>79</v>
      </c>
    </row>
    <row r="50" customHeight="1" spans="1:3">
      <c r="A50" s="13"/>
      <c r="B50" s="13"/>
      <c r="C50" s="15" t="s">
        <v>80</v>
      </c>
    </row>
    <row r="51" customHeight="1" spans="1:3">
      <c r="A51" s="338">
        <v>11</v>
      </c>
      <c r="B51" s="19" t="s">
        <v>82</v>
      </c>
      <c r="C51" s="15" t="s">
        <v>7</v>
      </c>
    </row>
    <row r="52" customHeight="1" spans="1:3">
      <c r="A52" s="13"/>
      <c r="B52" s="13"/>
      <c r="C52" s="15" t="s">
        <v>15</v>
      </c>
    </row>
    <row r="53" customHeight="1" spans="1:3">
      <c r="A53" s="13"/>
      <c r="B53" s="13"/>
      <c r="C53" s="15" t="s">
        <v>27</v>
      </c>
    </row>
    <row r="54" customHeight="1" spans="1:3">
      <c r="A54" s="13"/>
      <c r="B54" s="13"/>
      <c r="C54" s="15" t="s">
        <v>30</v>
      </c>
    </row>
    <row r="55" customHeight="1" spans="1:3">
      <c r="A55" s="13"/>
      <c r="B55" s="13"/>
      <c r="C55" s="15" t="s">
        <v>33</v>
      </c>
    </row>
    <row r="56" customHeight="1" spans="1:3">
      <c r="A56" s="13"/>
      <c r="B56" s="13"/>
      <c r="C56" s="15" t="s">
        <v>36</v>
      </c>
    </row>
    <row r="57" customHeight="1" spans="1:3">
      <c r="A57" s="338">
        <v>12</v>
      </c>
      <c r="B57" s="19" t="s">
        <v>84</v>
      </c>
      <c r="C57" s="15" t="s">
        <v>85</v>
      </c>
    </row>
    <row r="58" customHeight="1" spans="1:3">
      <c r="A58" s="13"/>
      <c r="B58" s="13"/>
      <c r="C58" s="15" t="s">
        <v>86</v>
      </c>
    </row>
    <row r="59" customHeight="1" spans="1:3">
      <c r="A59" s="13"/>
      <c r="B59" s="13"/>
      <c r="C59" s="15" t="s">
        <v>88</v>
      </c>
    </row>
    <row r="60" customHeight="1" spans="1:3">
      <c r="A60" s="13"/>
      <c r="B60" s="13"/>
      <c r="C60" s="15" t="s">
        <v>91</v>
      </c>
    </row>
    <row r="61" customHeight="1" spans="1:3">
      <c r="A61" s="13"/>
      <c r="B61" s="13"/>
      <c r="C61" s="15" t="s">
        <v>93</v>
      </c>
    </row>
    <row r="62" customHeight="1" spans="1:3">
      <c r="A62" s="13"/>
      <c r="B62" s="13"/>
      <c r="C62" s="15" t="s">
        <v>93</v>
      </c>
    </row>
    <row r="63" ht="29.25" customHeight="1" spans="1:5">
      <c r="A63" s="338">
        <v>13</v>
      </c>
      <c r="B63" s="19" t="s">
        <v>106</v>
      </c>
      <c r="C63" s="15" t="s">
        <v>46</v>
      </c>
      <c r="E63" s="16" t="s">
        <v>241</v>
      </c>
    </row>
    <row r="64" ht="28.5" customHeight="1" spans="1:5">
      <c r="A64" s="13"/>
      <c r="B64" s="13"/>
      <c r="C64" s="15" t="s">
        <v>49</v>
      </c>
      <c r="E64" s="16" t="s">
        <v>241</v>
      </c>
    </row>
    <row r="65" customHeight="1" spans="1:3">
      <c r="A65" s="13"/>
      <c r="B65" s="13"/>
      <c r="C65" s="15" t="s">
        <v>58</v>
      </c>
    </row>
    <row r="66" customHeight="1" spans="1:3">
      <c r="A66" s="13"/>
      <c r="B66" s="13"/>
      <c r="C66" s="15" t="s">
        <v>61</v>
      </c>
    </row>
    <row r="67" customHeight="1" spans="1:3">
      <c r="A67" s="13"/>
      <c r="B67" s="13"/>
      <c r="C67" s="15" t="s">
        <v>64</v>
      </c>
    </row>
    <row r="68" customHeight="1" spans="1:3">
      <c r="A68" s="13"/>
      <c r="B68" s="13"/>
      <c r="C68" s="15" t="s">
        <v>67</v>
      </c>
    </row>
    <row r="69" customHeight="1" spans="1:3">
      <c r="A69" s="338">
        <v>14</v>
      </c>
      <c r="B69" s="19" t="s">
        <v>132</v>
      </c>
      <c r="C69" s="15" t="s">
        <v>70</v>
      </c>
    </row>
    <row r="70" customHeight="1" spans="1:3">
      <c r="A70" s="13"/>
      <c r="B70" s="13"/>
      <c r="C70" s="15" t="s">
        <v>71</v>
      </c>
    </row>
    <row r="71" customHeight="1" spans="1:3">
      <c r="A71" s="13"/>
      <c r="B71" s="13"/>
      <c r="C71" s="15" t="s">
        <v>73</v>
      </c>
    </row>
    <row r="72" customHeight="1" spans="1:3">
      <c r="A72" s="13"/>
      <c r="B72" s="13"/>
      <c r="C72" s="15" t="s">
        <v>74</v>
      </c>
    </row>
    <row r="73" customHeight="1" spans="1:3">
      <c r="A73" s="338">
        <v>15</v>
      </c>
      <c r="B73" s="19" t="s">
        <v>134</v>
      </c>
      <c r="C73" s="15" t="s">
        <v>70</v>
      </c>
    </row>
    <row r="74" ht="12" spans="1:3">
      <c r="A74" s="13"/>
      <c r="B74" s="13"/>
      <c r="C74" s="15" t="s">
        <v>71</v>
      </c>
    </row>
    <row r="75" ht="12" spans="1:3">
      <c r="A75" s="13"/>
      <c r="B75" s="13"/>
      <c r="C75" s="15" t="s">
        <v>73</v>
      </c>
    </row>
    <row r="76" ht="12" spans="1:3">
      <c r="A76" s="13"/>
      <c r="B76" s="13"/>
      <c r="C76" s="15" t="s">
        <v>74</v>
      </c>
    </row>
    <row r="77" ht="12" spans="1:3">
      <c r="A77" s="13"/>
      <c r="B77" s="13"/>
      <c r="C77" s="15" t="s">
        <v>76</v>
      </c>
    </row>
    <row r="78" ht="12" spans="1:3">
      <c r="A78" s="13"/>
      <c r="B78" s="13"/>
      <c r="C78" s="15" t="s">
        <v>77</v>
      </c>
    </row>
    <row r="79" ht="12" spans="1:3">
      <c r="A79" s="13"/>
      <c r="B79" s="13"/>
      <c r="C79" s="15" t="s">
        <v>78</v>
      </c>
    </row>
    <row r="80" ht="12" spans="1:3">
      <c r="A80" s="13"/>
      <c r="B80" s="13"/>
      <c r="C80" s="15" t="s">
        <v>79</v>
      </c>
    </row>
    <row r="81" ht="12" spans="1:3">
      <c r="A81" s="13"/>
      <c r="B81" s="13"/>
      <c r="C81" s="15" t="s">
        <v>80</v>
      </c>
    </row>
    <row r="82" ht="12" spans="3:3">
      <c r="C82" s="16"/>
    </row>
    <row r="83" ht="12" spans="3:3">
      <c r="C83" s="16"/>
    </row>
    <row r="84" ht="12" spans="3:3">
      <c r="C84" s="16"/>
    </row>
    <row r="85" ht="12" spans="3:3">
      <c r="C85" s="16"/>
    </row>
    <row r="86" ht="12" spans="3:3">
      <c r="C86" s="16"/>
    </row>
    <row r="87" ht="12" spans="3:3">
      <c r="C87" s="16"/>
    </row>
    <row r="88" ht="12" spans="3:3">
      <c r="C88" s="16"/>
    </row>
    <row r="89" ht="12" spans="3:3">
      <c r="C89" s="16"/>
    </row>
    <row r="90" ht="12" spans="3:3">
      <c r="C90" s="16"/>
    </row>
  </sheetData>
  <mergeCells count="30">
    <mergeCell ref="A2:A10"/>
    <mergeCell ref="A11:A17"/>
    <mergeCell ref="A18:A21"/>
    <mergeCell ref="A22:A25"/>
    <mergeCell ref="A26:A29"/>
    <mergeCell ref="A30:A33"/>
    <mergeCell ref="A34:A37"/>
    <mergeCell ref="A38:A41"/>
    <mergeCell ref="A42:A45"/>
    <mergeCell ref="A46:A50"/>
    <mergeCell ref="A51:A56"/>
    <mergeCell ref="A57:A62"/>
    <mergeCell ref="A63:A68"/>
    <mergeCell ref="A69:A72"/>
    <mergeCell ref="A73:A81"/>
    <mergeCell ref="B2:B10"/>
    <mergeCell ref="B11:B17"/>
    <mergeCell ref="B18:B21"/>
    <mergeCell ref="B22:B25"/>
    <mergeCell ref="B26:B29"/>
    <mergeCell ref="B30:B33"/>
    <mergeCell ref="B34:B37"/>
    <mergeCell ref="B38:B41"/>
    <mergeCell ref="B42:B45"/>
    <mergeCell ref="B46:B50"/>
    <mergeCell ref="B51:B56"/>
    <mergeCell ref="B57:B62"/>
    <mergeCell ref="B63:B68"/>
    <mergeCell ref="B69:B72"/>
    <mergeCell ref="B73:B8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债券风控点(二期)"/>
  <dimension ref="A1:AO142"/>
  <sheetViews>
    <sheetView tabSelected="1" workbookViewId="0">
      <pane ySplit="1" topLeftCell="A48" activePane="bottomLeft" state="frozen"/>
      <selection/>
      <selection pane="bottomLeft" activeCell="H17" sqref="H17"/>
    </sheetView>
  </sheetViews>
  <sheetFormatPr defaultColWidth="14" defaultRowHeight="18" customHeight="1"/>
  <cols>
    <col min="1" max="1" width="14.5648148148148" style="14" customWidth="1"/>
    <col min="2" max="2" width="13.3518518518519" style="14" customWidth="1"/>
    <col min="3" max="3" width="19.1481481481481" style="14" customWidth="1"/>
    <col min="4" max="4" width="25.3518518518519" style="14" customWidth="1"/>
    <col min="5" max="5" width="12.5462962962963" style="14" customWidth="1"/>
    <col min="6" max="6" width="12.1388888888889" style="14" customWidth="1"/>
    <col min="7" max="7" width="14.4351851851852" style="338" customWidth="1"/>
    <col min="8" max="8" width="15.3703703703704" style="338" customWidth="1"/>
    <col min="9" max="9" width="13.4814814814815" style="338" customWidth="1"/>
    <col min="10" max="10" width="14.7037037037037" style="338" customWidth="1"/>
    <col min="11" max="11" width="10.9259259259259" style="197" customWidth="1"/>
    <col min="12" max="12" width="22.25" style="197" customWidth="1"/>
    <col min="13" max="36" width="10.9259259259259" style="197" customWidth="1"/>
    <col min="37" max="41" width="10.712962962963" customWidth="1"/>
  </cols>
  <sheetData>
    <row r="1" s="297" customFormat="1" ht="60.75" customHeight="1" spans="1:36">
      <c r="A1" s="313" t="s">
        <v>242</v>
      </c>
      <c r="B1" s="302" t="s">
        <v>0</v>
      </c>
      <c r="C1" s="302" t="s">
        <v>243</v>
      </c>
      <c r="D1" s="302" t="s">
        <v>244</v>
      </c>
      <c r="E1" s="302" t="s">
        <v>245</v>
      </c>
      <c r="F1" s="302" t="s">
        <v>246</v>
      </c>
      <c r="G1" s="302" t="s">
        <v>247</v>
      </c>
      <c r="H1" s="302" t="s">
        <v>248</v>
      </c>
      <c r="I1" s="302" t="s">
        <v>249</v>
      </c>
      <c r="J1" s="302" t="s">
        <v>250</v>
      </c>
      <c r="K1" s="403" t="s">
        <v>251</v>
      </c>
      <c r="L1" s="403" t="s">
        <v>252</v>
      </c>
      <c r="M1" s="403" t="s">
        <v>253</v>
      </c>
      <c r="N1" s="404"/>
      <c r="O1" s="404"/>
      <c r="P1" s="404"/>
      <c r="Q1" s="404"/>
      <c r="R1" s="404"/>
      <c r="S1" s="404"/>
      <c r="T1" s="404"/>
      <c r="U1" s="404"/>
      <c r="V1" s="404"/>
      <c r="W1" s="404"/>
      <c r="X1" s="404"/>
      <c r="Y1" s="404"/>
      <c r="Z1" s="404"/>
      <c r="AA1" s="404"/>
      <c r="AB1" s="404"/>
      <c r="AC1" s="404"/>
      <c r="AD1" s="404"/>
      <c r="AE1" s="404"/>
      <c r="AF1" s="404"/>
      <c r="AG1" s="404"/>
      <c r="AH1" s="404"/>
      <c r="AI1" s="404"/>
      <c r="AJ1" s="404"/>
    </row>
    <row r="2" s="11" customFormat="1" ht="37.5" customHeight="1" spans="1:36">
      <c r="A2" s="67">
        <v>1</v>
      </c>
      <c r="B2" s="140" t="s">
        <v>254</v>
      </c>
      <c r="C2" s="200" t="s">
        <v>161</v>
      </c>
      <c r="D2" s="14" t="s">
        <v>255</v>
      </c>
      <c r="E2" s="200" t="s">
        <v>256</v>
      </c>
      <c r="F2" s="25">
        <v>0.02</v>
      </c>
      <c r="G2" s="200"/>
      <c r="H2" s="200"/>
      <c r="I2" s="200"/>
      <c r="J2" s="200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88"/>
      <c r="AC2" s="388"/>
      <c r="AD2" s="388"/>
      <c r="AE2" s="388"/>
      <c r="AF2" s="388"/>
      <c r="AG2" s="388"/>
      <c r="AH2" s="388"/>
      <c r="AI2" s="388"/>
      <c r="AJ2" s="388"/>
    </row>
    <row r="3" ht="36" customHeight="1" spans="1:10">
      <c r="A3" s="127"/>
      <c r="B3" s="140" t="s">
        <v>257</v>
      </c>
      <c r="C3" s="200" t="s">
        <v>161</v>
      </c>
      <c r="D3" s="14" t="s">
        <v>255</v>
      </c>
      <c r="E3" s="200" t="s">
        <v>256</v>
      </c>
      <c r="F3" s="25">
        <v>0.042</v>
      </c>
      <c r="G3" s="200"/>
      <c r="H3" s="200"/>
      <c r="I3" s="200"/>
      <c r="J3" s="200"/>
    </row>
    <row r="4" ht="35.25" customHeight="1" spans="1:10">
      <c r="A4" s="127"/>
      <c r="B4" s="140" t="s">
        <v>258</v>
      </c>
      <c r="C4" s="200" t="s">
        <v>161</v>
      </c>
      <c r="D4" s="14" t="s">
        <v>255</v>
      </c>
      <c r="E4" s="26" t="s">
        <v>256</v>
      </c>
      <c r="F4" s="25">
        <v>0.062</v>
      </c>
      <c r="G4" s="343"/>
      <c r="H4" s="343"/>
      <c r="I4" s="343"/>
      <c r="J4" s="343"/>
    </row>
    <row r="5" ht="36" customHeight="1" spans="1:10">
      <c r="A5" s="127"/>
      <c r="B5" s="140" t="s">
        <v>259</v>
      </c>
      <c r="C5" s="200" t="s">
        <v>161</v>
      </c>
      <c r="D5" s="14" t="s">
        <v>255</v>
      </c>
      <c r="E5" s="26" t="s">
        <v>256</v>
      </c>
      <c r="F5" s="151">
        <v>0.028</v>
      </c>
      <c r="G5" s="343"/>
      <c r="H5" s="343"/>
      <c r="I5" s="343"/>
      <c r="J5" s="343"/>
    </row>
    <row r="6" customHeight="1" spans="1:10">
      <c r="A6" s="127"/>
      <c r="B6" s="140" t="s">
        <v>260</v>
      </c>
      <c r="C6" s="200" t="s">
        <v>161</v>
      </c>
      <c r="D6" s="14" t="s">
        <v>255</v>
      </c>
      <c r="E6" s="26" t="s">
        <v>256</v>
      </c>
      <c r="F6" s="25">
        <v>0.102</v>
      </c>
      <c r="G6" s="200"/>
      <c r="H6" s="200"/>
      <c r="I6" s="200"/>
      <c r="J6" s="200"/>
    </row>
    <row r="7" customHeight="1" spans="1:10">
      <c r="A7" s="127"/>
      <c r="B7" s="140" t="s">
        <v>261</v>
      </c>
      <c r="C7" s="200" t="s">
        <v>161</v>
      </c>
      <c r="D7" s="14" t="s">
        <v>255</v>
      </c>
      <c r="E7" s="26" t="s">
        <v>256</v>
      </c>
      <c r="F7" s="25">
        <v>0.13</v>
      </c>
      <c r="G7" s="343"/>
      <c r="H7" s="343"/>
      <c r="I7" s="343"/>
      <c r="J7" s="343"/>
    </row>
    <row r="8" customHeight="1" spans="1:10">
      <c r="A8" s="127"/>
      <c r="B8" s="140" t="s">
        <v>262</v>
      </c>
      <c r="C8" s="200" t="s">
        <v>161</v>
      </c>
      <c r="D8" s="14" t="s">
        <v>255</v>
      </c>
      <c r="E8" s="26" t="s">
        <v>256</v>
      </c>
      <c r="F8" s="25">
        <v>0.16</v>
      </c>
      <c r="G8" s="343"/>
      <c r="H8" s="343"/>
      <c r="I8" s="343"/>
      <c r="J8" s="343"/>
    </row>
    <row r="9" customHeight="1" spans="1:10">
      <c r="A9" s="127"/>
      <c r="B9" s="140" t="s">
        <v>263</v>
      </c>
      <c r="C9" s="200" t="s">
        <v>161</v>
      </c>
      <c r="D9" s="14" t="s">
        <v>255</v>
      </c>
      <c r="E9" s="26" t="s">
        <v>256</v>
      </c>
      <c r="F9" s="25">
        <v>0.184</v>
      </c>
      <c r="G9" s="343"/>
      <c r="H9" s="343"/>
      <c r="I9" s="343"/>
      <c r="J9" s="343"/>
    </row>
    <row r="10" customHeight="1" spans="1:10">
      <c r="A10" s="127"/>
      <c r="B10" s="140" t="s">
        <v>264</v>
      </c>
      <c r="C10" s="200" t="s">
        <v>161</v>
      </c>
      <c r="D10" s="14" t="s">
        <v>255</v>
      </c>
      <c r="E10" s="26" t="s">
        <v>256</v>
      </c>
      <c r="F10" s="25">
        <v>0.028</v>
      </c>
      <c r="G10" s="343"/>
      <c r="H10" s="343"/>
      <c r="I10" s="343"/>
      <c r="J10" s="343"/>
    </row>
    <row r="11" customHeight="1" spans="1:10">
      <c r="A11" s="127"/>
      <c r="B11" s="140" t="s">
        <v>265</v>
      </c>
      <c r="C11" s="200" t="s">
        <v>161</v>
      </c>
      <c r="D11" s="14" t="s">
        <v>255</v>
      </c>
      <c r="E11" s="26" t="s">
        <v>256</v>
      </c>
      <c r="F11" s="25">
        <v>0.066</v>
      </c>
      <c r="G11" s="343"/>
      <c r="H11" s="343"/>
      <c r="I11" s="343"/>
      <c r="J11" s="343"/>
    </row>
    <row r="12" customHeight="1" spans="1:10">
      <c r="A12" s="127"/>
      <c r="B12" s="140" t="s">
        <v>266</v>
      </c>
      <c r="C12" s="200" t="s">
        <v>161</v>
      </c>
      <c r="D12" s="14" t="s">
        <v>255</v>
      </c>
      <c r="E12" s="26" t="s">
        <v>267</v>
      </c>
      <c r="F12" s="398"/>
      <c r="G12" s="26"/>
      <c r="H12" s="26"/>
      <c r="I12" s="26"/>
      <c r="J12" s="26"/>
    </row>
    <row r="13" customHeight="1" spans="1:10">
      <c r="A13" s="127"/>
      <c r="B13" s="140" t="s">
        <v>268</v>
      </c>
      <c r="C13" s="200" t="s">
        <v>161</v>
      </c>
      <c r="D13" s="14" t="s">
        <v>255</v>
      </c>
      <c r="E13" s="26" t="s">
        <v>267</v>
      </c>
      <c r="F13" s="398"/>
      <c r="G13" s="26"/>
      <c r="H13" s="26"/>
      <c r="I13" s="26"/>
      <c r="J13" s="26"/>
    </row>
    <row r="14" customHeight="1" spans="1:10">
      <c r="A14" s="127"/>
      <c r="B14" s="140" t="s">
        <v>269</v>
      </c>
      <c r="C14" s="200" t="s">
        <v>161</v>
      </c>
      <c r="D14" s="14" t="s">
        <v>255</v>
      </c>
      <c r="E14" s="26" t="s">
        <v>267</v>
      </c>
      <c r="F14" s="398"/>
      <c r="G14" s="26"/>
      <c r="H14" s="26"/>
      <c r="I14" s="26"/>
      <c r="J14" s="26"/>
    </row>
    <row r="15" customHeight="1" spans="1:10">
      <c r="A15" s="127"/>
      <c r="B15" s="140" t="s">
        <v>270</v>
      </c>
      <c r="C15" s="200" t="s">
        <v>161</v>
      </c>
      <c r="D15" s="14" t="s">
        <v>255</v>
      </c>
      <c r="E15" s="26" t="s">
        <v>256</v>
      </c>
      <c r="F15" s="25">
        <v>0.156</v>
      </c>
      <c r="G15" s="26"/>
      <c r="H15" s="26"/>
      <c r="I15" s="26"/>
      <c r="J15" s="343"/>
    </row>
    <row r="16" customHeight="1" spans="1:10">
      <c r="A16" s="127"/>
      <c r="B16" s="140" t="s">
        <v>271</v>
      </c>
      <c r="C16" s="200" t="s">
        <v>161</v>
      </c>
      <c r="D16" s="14" t="s">
        <v>255</v>
      </c>
      <c r="E16" s="26" t="s">
        <v>256</v>
      </c>
      <c r="F16" s="25">
        <v>0.19</v>
      </c>
      <c r="G16" s="26"/>
      <c r="H16" s="26"/>
      <c r="I16" s="26"/>
      <c r="J16" s="343"/>
    </row>
    <row r="17" customHeight="1" spans="1:10">
      <c r="A17" s="127"/>
      <c r="B17" s="140" t="s">
        <v>272</v>
      </c>
      <c r="C17" s="200" t="s">
        <v>161</v>
      </c>
      <c r="D17" s="14" t="s">
        <v>255</v>
      </c>
      <c r="E17" s="26" t="s">
        <v>273</v>
      </c>
      <c r="F17" s="25">
        <v>0.216</v>
      </c>
      <c r="G17" s="26"/>
      <c r="H17" s="26"/>
      <c r="I17" s="26"/>
      <c r="J17" s="343"/>
    </row>
    <row r="18" customHeight="1" spans="1:10">
      <c r="A18" s="127"/>
      <c r="B18" s="140" t="s">
        <v>274</v>
      </c>
      <c r="C18" s="200" t="s">
        <v>161</v>
      </c>
      <c r="D18" s="14" t="s">
        <v>255</v>
      </c>
      <c r="E18" s="26" t="s">
        <v>275</v>
      </c>
      <c r="F18" s="25">
        <v>0.162</v>
      </c>
      <c r="G18" s="26"/>
      <c r="H18" s="26"/>
      <c r="I18" s="26"/>
      <c r="J18" s="343"/>
    </row>
    <row r="19" s="11" customFormat="1" customHeight="1" spans="1:36">
      <c r="A19" s="348">
        <v>2</v>
      </c>
      <c r="B19" s="345" t="s">
        <v>276</v>
      </c>
      <c r="C19" s="56" t="s">
        <v>163</v>
      </c>
      <c r="D19" s="224" t="s">
        <v>163</v>
      </c>
      <c r="E19" s="56" t="s">
        <v>277</v>
      </c>
      <c r="F19" s="56"/>
      <c r="G19" s="56"/>
      <c r="H19" s="56"/>
      <c r="I19" s="56"/>
      <c r="J19" s="56"/>
      <c r="K19" s="388"/>
      <c r="L19" s="388"/>
      <c r="M19" s="388"/>
      <c r="N19" s="388"/>
      <c r="O19" s="388"/>
      <c r="P19" s="388"/>
      <c r="Q19" s="388"/>
      <c r="R19" s="388"/>
      <c r="S19" s="388"/>
      <c r="T19" s="388"/>
      <c r="U19" s="388"/>
      <c r="V19" s="388"/>
      <c r="W19" s="388"/>
      <c r="X19" s="388"/>
      <c r="Y19" s="388"/>
      <c r="Z19" s="388"/>
      <c r="AA19" s="388"/>
      <c r="AB19" s="388"/>
      <c r="AC19" s="388"/>
      <c r="AD19" s="388"/>
      <c r="AE19" s="388"/>
      <c r="AF19" s="388"/>
      <c r="AG19" s="388"/>
      <c r="AH19" s="388"/>
      <c r="AI19" s="388"/>
      <c r="AJ19" s="388"/>
    </row>
    <row r="20" customHeight="1" spans="1:10">
      <c r="A20" s="127"/>
      <c r="B20" s="140" t="s">
        <v>278</v>
      </c>
      <c r="C20" s="26" t="s">
        <v>163</v>
      </c>
      <c r="D20" s="67" t="s">
        <v>163</v>
      </c>
      <c r="E20" s="26" t="s">
        <v>256</v>
      </c>
      <c r="F20" s="26">
        <v>40000000</v>
      </c>
      <c r="G20" s="26"/>
      <c r="H20" s="26"/>
      <c r="I20" s="26"/>
      <c r="J20" s="26"/>
    </row>
    <row r="21" customHeight="1" spans="1:10">
      <c r="A21" s="127"/>
      <c r="B21" s="140" t="s">
        <v>279</v>
      </c>
      <c r="C21" s="26" t="s">
        <v>163</v>
      </c>
      <c r="D21" s="67" t="s">
        <v>163</v>
      </c>
      <c r="E21" s="26" t="s">
        <v>277</v>
      </c>
      <c r="F21" s="26"/>
      <c r="G21" s="26"/>
      <c r="H21" s="26"/>
      <c r="I21" s="26"/>
      <c r="J21" s="26"/>
    </row>
    <row r="22" customHeight="1" spans="1:10">
      <c r="A22" s="127"/>
      <c r="B22" s="140" t="s">
        <v>280</v>
      </c>
      <c r="C22" s="26" t="s">
        <v>163</v>
      </c>
      <c r="D22" s="67" t="s">
        <v>163</v>
      </c>
      <c r="E22" s="26" t="s">
        <v>277</v>
      </c>
      <c r="F22" s="26"/>
      <c r="G22" s="26"/>
      <c r="H22" s="26"/>
      <c r="I22" s="26"/>
      <c r="J22" s="26"/>
    </row>
    <row r="23" customHeight="1" spans="1:10">
      <c r="A23" s="127"/>
      <c r="B23" s="140" t="s">
        <v>281</v>
      </c>
      <c r="C23" s="26" t="s">
        <v>163</v>
      </c>
      <c r="D23" s="67" t="s">
        <v>163</v>
      </c>
      <c r="E23" s="26" t="s">
        <v>277</v>
      </c>
      <c r="F23" s="26"/>
      <c r="G23" s="26"/>
      <c r="H23" s="26"/>
      <c r="I23" s="26"/>
      <c r="J23" s="26"/>
    </row>
    <row r="24" customHeight="1" spans="1:10">
      <c r="A24" s="127"/>
      <c r="B24" s="140" t="s">
        <v>282</v>
      </c>
      <c r="C24" s="26" t="s">
        <v>163</v>
      </c>
      <c r="D24" s="67" t="s">
        <v>163</v>
      </c>
      <c r="E24" s="26" t="s">
        <v>277</v>
      </c>
      <c r="F24" s="26"/>
      <c r="G24" s="26"/>
      <c r="H24" s="26"/>
      <c r="I24" s="26"/>
      <c r="J24" s="26"/>
    </row>
    <row r="25" customHeight="1" spans="1:10">
      <c r="A25" s="127"/>
      <c r="B25" s="26" t="s">
        <v>283</v>
      </c>
      <c r="C25" s="26" t="s">
        <v>163</v>
      </c>
      <c r="D25" s="67" t="s">
        <v>163</v>
      </c>
      <c r="E25" s="26" t="s">
        <v>277</v>
      </c>
      <c r="F25" s="26"/>
      <c r="G25" s="26"/>
      <c r="H25" s="26"/>
      <c r="I25" s="26"/>
      <c r="J25" s="26"/>
    </row>
    <row r="26" customHeight="1" spans="1:10">
      <c r="A26" s="127"/>
      <c r="B26" s="140" t="s">
        <v>284</v>
      </c>
      <c r="C26" s="26" t="s">
        <v>163</v>
      </c>
      <c r="D26" s="67" t="s">
        <v>163</v>
      </c>
      <c r="E26" s="26" t="s">
        <v>277</v>
      </c>
      <c r="F26" s="26"/>
      <c r="G26" s="26"/>
      <c r="H26" s="26"/>
      <c r="I26" s="26"/>
      <c r="J26" s="26"/>
    </row>
    <row r="27" customHeight="1" spans="1:10">
      <c r="A27" s="127"/>
      <c r="B27" s="140" t="s">
        <v>285</v>
      </c>
      <c r="C27" s="26" t="s">
        <v>163</v>
      </c>
      <c r="D27" s="67" t="s">
        <v>163</v>
      </c>
      <c r="E27" s="26" t="s">
        <v>277</v>
      </c>
      <c r="F27" s="26"/>
      <c r="G27" s="26"/>
      <c r="H27" s="26"/>
      <c r="I27" s="26"/>
      <c r="J27" s="26"/>
    </row>
    <row r="28" customHeight="1" spans="1:10">
      <c r="A28" s="127"/>
      <c r="B28" s="140" t="s">
        <v>286</v>
      </c>
      <c r="C28" s="26" t="s">
        <v>163</v>
      </c>
      <c r="D28" s="67" t="s">
        <v>163</v>
      </c>
      <c r="E28" s="26" t="s">
        <v>277</v>
      </c>
      <c r="F28" s="26"/>
      <c r="G28" s="26"/>
      <c r="H28" s="26"/>
      <c r="I28" s="26"/>
      <c r="J28" s="26"/>
    </row>
    <row r="29" customHeight="1" spans="1:10">
      <c r="A29" s="127"/>
      <c r="B29" s="140" t="s">
        <v>287</v>
      </c>
      <c r="C29" s="26" t="s">
        <v>163</v>
      </c>
      <c r="D29" s="67" t="s">
        <v>163</v>
      </c>
      <c r="E29" s="26" t="s">
        <v>277</v>
      </c>
      <c r="F29" s="26"/>
      <c r="G29" s="26"/>
      <c r="H29" s="26"/>
      <c r="I29" s="26"/>
      <c r="J29" s="26"/>
    </row>
    <row r="30" customHeight="1" spans="1:10">
      <c r="A30" s="127"/>
      <c r="B30" s="136" t="s">
        <v>288</v>
      </c>
      <c r="C30" s="26" t="s">
        <v>163</v>
      </c>
      <c r="D30" s="67" t="s">
        <v>163</v>
      </c>
      <c r="E30" s="26" t="s">
        <v>277</v>
      </c>
      <c r="F30" s="26"/>
      <c r="G30" s="26"/>
      <c r="H30" s="26"/>
      <c r="I30" s="26"/>
      <c r="J30" s="26"/>
    </row>
    <row r="31" customHeight="1" spans="1:10">
      <c r="A31" s="127"/>
      <c r="B31" s="26" t="s">
        <v>289</v>
      </c>
      <c r="C31" s="26" t="s">
        <v>163</v>
      </c>
      <c r="D31" s="67" t="s">
        <v>163</v>
      </c>
      <c r="E31" s="26" t="s">
        <v>277</v>
      </c>
      <c r="F31" s="26"/>
      <c r="G31" s="26"/>
      <c r="H31" s="26"/>
      <c r="I31" s="26"/>
      <c r="J31" s="26"/>
    </row>
    <row r="32" customHeight="1" spans="1:10">
      <c r="A32" s="127"/>
      <c r="B32" s="140" t="s">
        <v>290</v>
      </c>
      <c r="C32" s="26" t="s">
        <v>163</v>
      </c>
      <c r="D32" s="67" t="s">
        <v>163</v>
      </c>
      <c r="E32" s="26" t="s">
        <v>256</v>
      </c>
      <c r="F32" s="25">
        <v>10000000</v>
      </c>
      <c r="G32" s="343"/>
      <c r="H32" s="343"/>
      <c r="I32" s="343"/>
      <c r="J32" s="343"/>
    </row>
    <row r="33" customHeight="1" spans="1:10">
      <c r="A33" s="127"/>
      <c r="B33" s="140" t="s">
        <v>291</v>
      </c>
      <c r="C33" s="26" t="s">
        <v>163</v>
      </c>
      <c r="D33" s="67" t="s">
        <v>163</v>
      </c>
      <c r="E33" s="26" t="s">
        <v>256</v>
      </c>
      <c r="F33" s="25">
        <v>10000000</v>
      </c>
      <c r="G33" s="343"/>
      <c r="H33" s="343"/>
      <c r="I33" s="343"/>
      <c r="J33" s="343"/>
    </row>
    <row r="34" customHeight="1" spans="1:10">
      <c r="A34" s="127"/>
      <c r="B34" s="140" t="s">
        <v>292</v>
      </c>
      <c r="C34" s="26" t="s">
        <v>163</v>
      </c>
      <c r="D34" s="67" t="s">
        <v>163</v>
      </c>
      <c r="E34" s="26" t="s">
        <v>256</v>
      </c>
      <c r="F34" s="25">
        <v>-10000000</v>
      </c>
      <c r="G34" s="343"/>
      <c r="H34" s="343"/>
      <c r="I34" s="343"/>
      <c r="J34" s="343"/>
    </row>
    <row r="35" customHeight="1" spans="1:10">
      <c r="A35" s="127"/>
      <c r="B35" s="140" t="s">
        <v>293</v>
      </c>
      <c r="C35" s="26" t="s">
        <v>163</v>
      </c>
      <c r="D35" s="67" t="s">
        <v>163</v>
      </c>
      <c r="E35" s="26" t="s">
        <v>256</v>
      </c>
      <c r="F35" s="25">
        <v>-30000000</v>
      </c>
      <c r="G35" s="26"/>
      <c r="H35" s="26"/>
      <c r="I35" s="26"/>
      <c r="J35" s="26"/>
    </row>
    <row r="36" customHeight="1" spans="1:10">
      <c r="A36" s="127"/>
      <c r="B36" s="136" t="s">
        <v>294</v>
      </c>
      <c r="C36" s="26" t="s">
        <v>163</v>
      </c>
      <c r="D36" s="67" t="s">
        <v>163</v>
      </c>
      <c r="E36" s="26" t="s">
        <v>295</v>
      </c>
      <c r="F36" s="148">
        <v>-70000000</v>
      </c>
      <c r="G36" s="343"/>
      <c r="H36" s="343"/>
      <c r="I36" s="343"/>
      <c r="J36" s="343"/>
    </row>
    <row r="37" customHeight="1" spans="1:10">
      <c r="A37" s="127"/>
      <c r="B37" s="26" t="s">
        <v>296</v>
      </c>
      <c r="C37" s="26" t="s">
        <v>163</v>
      </c>
      <c r="D37" s="67" t="s">
        <v>163</v>
      </c>
      <c r="E37" s="26" t="s">
        <v>295</v>
      </c>
      <c r="F37" s="148">
        <v>-299990000000</v>
      </c>
      <c r="G37" s="26"/>
      <c r="H37" s="26"/>
      <c r="I37" s="26"/>
      <c r="J37" s="26"/>
    </row>
    <row r="38" customHeight="1" spans="1:10">
      <c r="A38" s="103"/>
      <c r="B38" s="140" t="s">
        <v>297</v>
      </c>
      <c r="C38" s="26" t="s">
        <v>163</v>
      </c>
      <c r="D38" s="67" t="s">
        <v>163</v>
      </c>
      <c r="E38" s="26" t="s">
        <v>295</v>
      </c>
      <c r="F38" s="399">
        <v>-299990000000</v>
      </c>
      <c r="G38" s="26"/>
      <c r="H38" s="26"/>
      <c r="I38" s="26"/>
      <c r="J38" s="26"/>
    </row>
    <row r="39" customHeight="1" spans="1:10">
      <c r="A39" s="350">
        <v>3</v>
      </c>
      <c r="B39" s="351" t="s">
        <v>298</v>
      </c>
      <c r="C39" s="351" t="s">
        <v>166</v>
      </c>
      <c r="D39" s="400" t="s">
        <v>166</v>
      </c>
      <c r="E39" s="351" t="s">
        <v>256</v>
      </c>
      <c r="F39" s="56">
        <v>9800000</v>
      </c>
      <c r="G39" s="351"/>
      <c r="H39" s="351"/>
      <c r="I39" s="351"/>
      <c r="J39" s="343"/>
    </row>
    <row r="40" customHeight="1" spans="1:10">
      <c r="A40" s="127"/>
      <c r="B40" s="351" t="s">
        <v>299</v>
      </c>
      <c r="C40" s="351" t="s">
        <v>166</v>
      </c>
      <c r="D40" s="400" t="s">
        <v>166</v>
      </c>
      <c r="E40" s="351" t="s">
        <v>295</v>
      </c>
      <c r="F40" s="56">
        <v>59300000</v>
      </c>
      <c r="G40" s="351"/>
      <c r="H40" s="351"/>
      <c r="I40" s="351"/>
      <c r="J40" s="343"/>
    </row>
    <row r="41" customHeight="1" spans="1:10">
      <c r="A41" s="127"/>
      <c r="B41" s="351" t="s">
        <v>300</v>
      </c>
      <c r="C41" s="351" t="s">
        <v>166</v>
      </c>
      <c r="D41" s="400" t="s">
        <v>166</v>
      </c>
      <c r="E41" s="351" t="s">
        <v>277</v>
      </c>
      <c r="F41" s="57"/>
      <c r="G41" s="351"/>
      <c r="H41" s="351"/>
      <c r="I41" s="351"/>
      <c r="J41" s="343"/>
    </row>
    <row r="42" customHeight="1" spans="1:10">
      <c r="A42" s="127"/>
      <c r="B42" s="351" t="s">
        <v>301</v>
      </c>
      <c r="C42" s="351" t="s">
        <v>166</v>
      </c>
      <c r="D42" s="400" t="s">
        <v>166</v>
      </c>
      <c r="E42" s="351" t="s">
        <v>277</v>
      </c>
      <c r="F42" s="57"/>
      <c r="G42" s="351"/>
      <c r="H42" s="351"/>
      <c r="I42" s="351"/>
      <c r="J42" s="343"/>
    </row>
    <row r="43" customHeight="1" spans="1:10">
      <c r="A43" s="127"/>
      <c r="B43" s="341" t="s">
        <v>302</v>
      </c>
      <c r="C43" s="351" t="s">
        <v>166</v>
      </c>
      <c r="D43" s="400" t="s">
        <v>166</v>
      </c>
      <c r="E43" s="351" t="s">
        <v>256</v>
      </c>
      <c r="F43" s="56">
        <v>24779900000</v>
      </c>
      <c r="G43" s="351"/>
      <c r="H43" s="351"/>
      <c r="I43" s="351"/>
      <c r="J43" s="343"/>
    </row>
    <row r="44" customHeight="1" spans="1:10">
      <c r="A44" s="127"/>
      <c r="B44" s="351" t="s">
        <v>303</v>
      </c>
      <c r="C44" s="351" t="s">
        <v>166</v>
      </c>
      <c r="D44" s="400" t="s">
        <v>166</v>
      </c>
      <c r="E44" s="351" t="s">
        <v>256</v>
      </c>
      <c r="F44" s="56">
        <v>24789700000</v>
      </c>
      <c r="G44" s="351"/>
      <c r="H44" s="351"/>
      <c r="I44" s="351"/>
      <c r="J44" s="343"/>
    </row>
    <row r="45" customHeight="1" spans="1:10">
      <c r="A45" s="103"/>
      <c r="B45" s="350" t="s">
        <v>304</v>
      </c>
      <c r="C45" s="351" t="s">
        <v>166</v>
      </c>
      <c r="D45" s="400" t="s">
        <v>166</v>
      </c>
      <c r="E45" s="351" t="s">
        <v>295</v>
      </c>
      <c r="F45" s="56">
        <v>24819400000</v>
      </c>
      <c r="G45" s="351"/>
      <c r="H45" s="351"/>
      <c r="I45" s="351"/>
      <c r="J45" s="343"/>
    </row>
    <row r="46" customHeight="1" spans="1:10">
      <c r="A46" s="350">
        <v>4</v>
      </c>
      <c r="B46" s="351" t="s">
        <v>305</v>
      </c>
      <c r="C46" s="351" t="s">
        <v>167</v>
      </c>
      <c r="D46" s="400" t="s">
        <v>167</v>
      </c>
      <c r="E46" s="351" t="s">
        <v>256</v>
      </c>
      <c r="F46" s="351" t="s">
        <v>306</v>
      </c>
      <c r="G46" s="351"/>
      <c r="H46" s="351"/>
      <c r="I46" s="351"/>
      <c r="J46" s="343"/>
    </row>
    <row r="47" customHeight="1" spans="1:10">
      <c r="A47" s="127"/>
      <c r="B47" s="351" t="s">
        <v>307</v>
      </c>
      <c r="C47" s="351" t="s">
        <v>167</v>
      </c>
      <c r="D47" s="400" t="s">
        <v>167</v>
      </c>
      <c r="E47" s="351" t="s">
        <v>256</v>
      </c>
      <c r="F47" s="401" t="s">
        <v>308</v>
      </c>
      <c r="G47" s="351"/>
      <c r="H47" s="351"/>
      <c r="I47" s="351"/>
      <c r="J47" s="343"/>
    </row>
    <row r="48" customHeight="1" spans="1:10">
      <c r="A48" s="127"/>
      <c r="B48" s="351" t="s">
        <v>309</v>
      </c>
      <c r="C48" s="351" t="s">
        <v>167</v>
      </c>
      <c r="D48" s="400" t="s">
        <v>167</v>
      </c>
      <c r="E48" s="351"/>
      <c r="F48" s="351"/>
      <c r="G48" s="351"/>
      <c r="H48" s="351"/>
      <c r="I48" s="351"/>
      <c r="J48" s="351"/>
    </row>
    <row r="49" customHeight="1" spans="1:10">
      <c r="A49" s="127"/>
      <c r="B49" s="351" t="s">
        <v>310</v>
      </c>
      <c r="C49" s="351" t="s">
        <v>167</v>
      </c>
      <c r="D49" s="400" t="s">
        <v>167</v>
      </c>
      <c r="E49" s="351"/>
      <c r="F49" s="351"/>
      <c r="G49" s="351"/>
      <c r="H49" s="351"/>
      <c r="I49" s="351"/>
      <c r="J49" s="351"/>
    </row>
    <row r="50" customHeight="1" spans="1:10">
      <c r="A50" s="127"/>
      <c r="B50" s="351" t="s">
        <v>311</v>
      </c>
      <c r="C50" s="351" t="s">
        <v>167</v>
      </c>
      <c r="D50" s="400" t="s">
        <v>167</v>
      </c>
      <c r="E50" s="351"/>
      <c r="F50" s="351"/>
      <c r="G50" s="351"/>
      <c r="H50" s="351"/>
      <c r="I50" s="351"/>
      <c r="J50" s="351"/>
    </row>
    <row r="51" customHeight="1" spans="1:10">
      <c r="A51" s="127"/>
      <c r="B51" s="351" t="s">
        <v>312</v>
      </c>
      <c r="C51" s="351" t="s">
        <v>167</v>
      </c>
      <c r="D51" s="400" t="s">
        <v>167</v>
      </c>
      <c r="E51" s="351"/>
      <c r="F51" s="351"/>
      <c r="G51" s="351"/>
      <c r="H51" s="351"/>
      <c r="I51" s="351"/>
      <c r="J51" s="351"/>
    </row>
    <row r="52" customHeight="1" spans="1:10">
      <c r="A52" s="127"/>
      <c r="B52" s="351" t="s">
        <v>313</v>
      </c>
      <c r="C52" s="351" t="s">
        <v>167</v>
      </c>
      <c r="D52" s="400" t="s">
        <v>167</v>
      </c>
      <c r="E52" s="351"/>
      <c r="F52" s="351"/>
      <c r="G52" s="351"/>
      <c r="H52" s="351"/>
      <c r="I52" s="351"/>
      <c r="J52" s="351"/>
    </row>
    <row r="53" customHeight="1" spans="1:10">
      <c r="A53" s="127"/>
      <c r="B53" s="351" t="s">
        <v>314</v>
      </c>
      <c r="C53" s="351" t="s">
        <v>167</v>
      </c>
      <c r="D53" s="400" t="s">
        <v>167</v>
      </c>
      <c r="E53" s="351"/>
      <c r="F53" s="351"/>
      <c r="G53" s="351"/>
      <c r="H53" s="351"/>
      <c r="I53" s="351"/>
      <c r="J53" s="351"/>
    </row>
    <row r="54" ht="15.75" customHeight="1" spans="1:10">
      <c r="A54" s="127"/>
      <c r="B54" s="350" t="s">
        <v>315</v>
      </c>
      <c r="C54" s="350" t="s">
        <v>167</v>
      </c>
      <c r="D54" s="400" t="s">
        <v>167</v>
      </c>
      <c r="E54" s="350"/>
      <c r="F54" s="225"/>
      <c r="G54" s="350"/>
      <c r="H54" s="350"/>
      <c r="I54" s="350"/>
      <c r="J54" s="351"/>
    </row>
    <row r="55" s="11" customFormat="1" customHeight="1" spans="1:41">
      <c r="A55" s="56">
        <v>5</v>
      </c>
      <c r="B55" s="56" t="s">
        <v>316</v>
      </c>
      <c r="C55" s="57" t="s">
        <v>161</v>
      </c>
      <c r="D55" s="57" t="s">
        <v>317</v>
      </c>
      <c r="E55" s="57" t="s">
        <v>256</v>
      </c>
      <c r="F55" s="225">
        <v>0.002</v>
      </c>
      <c r="G55" s="291"/>
      <c r="H55" s="57"/>
      <c r="I55" s="57"/>
      <c r="J55" s="405"/>
      <c r="K55" s="320" t="s">
        <v>318</v>
      </c>
      <c r="L55" s="405"/>
      <c r="M55" s="405">
        <v>1</v>
      </c>
      <c r="N55" s="405"/>
      <c r="O55" s="405"/>
      <c r="P55" s="405"/>
      <c r="Q55" s="405"/>
      <c r="R55" s="405"/>
      <c r="S55" s="405"/>
      <c r="T55" s="405"/>
      <c r="U55" s="405"/>
      <c r="V55" s="405"/>
      <c r="W55" s="405"/>
      <c r="X55" s="405"/>
      <c r="Y55" s="405"/>
      <c r="Z55" s="405"/>
      <c r="AA55" s="405"/>
      <c r="AB55" s="405"/>
      <c r="AC55" s="405"/>
      <c r="AD55" s="405"/>
      <c r="AE55" s="405"/>
      <c r="AF55" s="405"/>
      <c r="AG55" s="405"/>
      <c r="AH55" s="405"/>
      <c r="AI55" s="405"/>
      <c r="AJ55" s="405"/>
      <c r="AK55" s="405"/>
      <c r="AL55" s="405"/>
      <c r="AM55" s="405"/>
      <c r="AN55" s="405"/>
      <c r="AO55" s="405"/>
    </row>
    <row r="56" s="11" customFormat="1" customHeight="1" spans="1:41">
      <c r="A56" s="402"/>
      <c r="B56" s="163" t="s">
        <v>319</v>
      </c>
      <c r="C56" s="166" t="s">
        <v>161</v>
      </c>
      <c r="D56" s="57" t="s">
        <v>317</v>
      </c>
      <c r="E56" s="166" t="s">
        <v>256</v>
      </c>
      <c r="F56" s="225">
        <v>0.058</v>
      </c>
      <c r="G56" s="291"/>
      <c r="H56" s="166"/>
      <c r="I56" s="166"/>
      <c r="J56" s="406"/>
      <c r="K56" s="195" t="s">
        <v>318</v>
      </c>
      <c r="L56" s="406"/>
      <c r="M56" s="406">
        <v>1</v>
      </c>
      <c r="N56" s="406"/>
      <c r="O56" s="406"/>
      <c r="P56" s="406"/>
      <c r="Q56" s="406"/>
      <c r="R56" s="406"/>
      <c r="S56" s="406"/>
      <c r="T56" s="406"/>
      <c r="U56" s="406"/>
      <c r="V56" s="406"/>
      <c r="W56" s="406"/>
      <c r="X56" s="406"/>
      <c r="Y56" s="406"/>
      <c r="Z56" s="406"/>
      <c r="AA56" s="406"/>
      <c r="AB56" s="406"/>
      <c r="AC56" s="406"/>
      <c r="AD56" s="406"/>
      <c r="AE56" s="406"/>
      <c r="AF56" s="406"/>
      <c r="AG56" s="406"/>
      <c r="AH56" s="406"/>
      <c r="AI56" s="406"/>
      <c r="AJ56" s="406"/>
      <c r="AK56" s="406"/>
      <c r="AL56" s="406"/>
      <c r="AM56" s="406"/>
      <c r="AN56" s="406"/>
      <c r="AO56" s="406"/>
    </row>
    <row r="57" s="11" customFormat="1" customHeight="1" spans="1:41">
      <c r="A57" s="402"/>
      <c r="B57" s="166"/>
      <c r="C57" s="166" t="s">
        <v>161</v>
      </c>
      <c r="D57" s="57" t="s">
        <v>317</v>
      </c>
      <c r="E57" s="166" t="s">
        <v>256</v>
      </c>
      <c r="F57" s="225">
        <v>0.058</v>
      </c>
      <c r="G57" s="291"/>
      <c r="H57" s="166"/>
      <c r="I57" s="166"/>
      <c r="J57" s="406"/>
      <c r="K57" s="195" t="s">
        <v>318</v>
      </c>
      <c r="L57" s="406"/>
      <c r="M57" s="406">
        <v>1</v>
      </c>
      <c r="N57" s="406"/>
      <c r="O57" s="406"/>
      <c r="P57" s="406"/>
      <c r="Q57" s="406"/>
      <c r="R57" s="406"/>
      <c r="S57" s="406"/>
      <c r="T57" s="406"/>
      <c r="U57" s="406"/>
      <c r="V57" s="406"/>
      <c r="W57" s="406"/>
      <c r="X57" s="406"/>
      <c r="Y57" s="406"/>
      <c r="Z57" s="406"/>
      <c r="AA57" s="406"/>
      <c r="AB57" s="406"/>
      <c r="AC57" s="406"/>
      <c r="AD57" s="406"/>
      <c r="AE57" s="406"/>
      <c r="AF57" s="406"/>
      <c r="AG57" s="406"/>
      <c r="AH57" s="406"/>
      <c r="AI57" s="406"/>
      <c r="AJ57" s="406"/>
      <c r="AK57" s="406"/>
      <c r="AL57" s="406"/>
      <c r="AM57" s="406"/>
      <c r="AN57" s="406"/>
      <c r="AO57" s="406"/>
    </row>
    <row r="58" s="11" customFormat="1" customHeight="1" spans="1:36">
      <c r="A58" s="224">
        <v>6</v>
      </c>
      <c r="B58" s="57" t="s">
        <v>320</v>
      </c>
      <c r="C58" s="225" t="s">
        <v>161</v>
      </c>
      <c r="D58" s="56" t="s">
        <v>321</v>
      </c>
      <c r="E58" s="225" t="s">
        <v>256</v>
      </c>
      <c r="F58" s="225">
        <v>0.02</v>
      </c>
      <c r="G58" s="225">
        <v>0.02</v>
      </c>
      <c r="H58" s="225">
        <v>0.02</v>
      </c>
      <c r="I58" s="291" t="s">
        <v>322</v>
      </c>
      <c r="J58" s="407"/>
      <c r="K58" s="388"/>
      <c r="L58" s="388" t="s">
        <v>323</v>
      </c>
      <c r="M58" s="388">
        <v>2</v>
      </c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8"/>
      <c r="Z58" s="388"/>
      <c r="AA58" s="388"/>
      <c r="AB58" s="388"/>
      <c r="AC58" s="388"/>
      <c r="AD58" s="388"/>
      <c r="AE58" s="388"/>
      <c r="AF58" s="388"/>
      <c r="AG58" s="388"/>
      <c r="AH58" s="388"/>
      <c r="AI58" s="388"/>
      <c r="AJ58" s="388"/>
    </row>
    <row r="59" s="11" customFormat="1" customHeight="1" spans="1:36">
      <c r="A59" s="127"/>
      <c r="B59" s="57" t="s">
        <v>324</v>
      </c>
      <c r="C59" s="225" t="s">
        <v>161</v>
      </c>
      <c r="D59" s="56" t="s">
        <v>321</v>
      </c>
      <c r="E59" s="225" t="s">
        <v>256</v>
      </c>
      <c r="F59" s="225">
        <v>0.04</v>
      </c>
      <c r="G59" s="225">
        <v>0.04</v>
      </c>
      <c r="H59" s="225">
        <v>0.04</v>
      </c>
      <c r="I59" s="291" t="s">
        <v>322</v>
      </c>
      <c r="J59" s="407"/>
      <c r="K59" s="388"/>
      <c r="L59" s="388" t="s">
        <v>323</v>
      </c>
      <c r="M59" s="388">
        <v>2</v>
      </c>
      <c r="N59" s="388"/>
      <c r="O59" s="388"/>
      <c r="P59" s="388"/>
      <c r="Q59" s="388"/>
      <c r="R59" s="388"/>
      <c r="S59" s="388"/>
      <c r="T59" s="388"/>
      <c r="U59" s="388"/>
      <c r="V59" s="388"/>
      <c r="W59" s="388"/>
      <c r="X59" s="388"/>
      <c r="Y59" s="388"/>
      <c r="Z59" s="388"/>
      <c r="AA59" s="388"/>
      <c r="AB59" s="388"/>
      <c r="AC59" s="388"/>
      <c r="AD59" s="388"/>
      <c r="AE59" s="388"/>
      <c r="AF59" s="388"/>
      <c r="AG59" s="388"/>
      <c r="AH59" s="388"/>
      <c r="AI59" s="388"/>
      <c r="AJ59" s="388"/>
    </row>
    <row r="60" s="11" customFormat="1" customHeight="1" spans="1:36">
      <c r="A60" s="103"/>
      <c r="B60" s="57" t="s">
        <v>320</v>
      </c>
      <c r="C60" s="225" t="s">
        <v>161</v>
      </c>
      <c r="D60" s="56" t="s">
        <v>321</v>
      </c>
      <c r="E60" s="225" t="s">
        <v>256</v>
      </c>
      <c r="F60" s="225">
        <v>0.04</v>
      </c>
      <c r="G60" s="225">
        <v>0.04</v>
      </c>
      <c r="H60" s="224">
        <v>0.04</v>
      </c>
      <c r="I60" s="408" t="s">
        <v>325</v>
      </c>
      <c r="J60" s="354"/>
      <c r="K60" s="388"/>
      <c r="L60" s="388" t="s">
        <v>323</v>
      </c>
      <c r="M60" s="388">
        <v>2</v>
      </c>
      <c r="N60" s="388"/>
      <c r="O60" s="388"/>
      <c r="P60" s="388"/>
      <c r="Q60" s="388"/>
      <c r="R60" s="388"/>
      <c r="S60" s="388"/>
      <c r="T60" s="388"/>
      <c r="U60" s="388"/>
      <c r="V60" s="388"/>
      <c r="W60" s="388"/>
      <c r="X60" s="388"/>
      <c r="Y60" s="388"/>
      <c r="Z60" s="388"/>
      <c r="AA60" s="388"/>
      <c r="AB60" s="388"/>
      <c r="AC60" s="388"/>
      <c r="AD60" s="388"/>
      <c r="AE60" s="388"/>
      <c r="AF60" s="388"/>
      <c r="AG60" s="388"/>
      <c r="AH60" s="388"/>
      <c r="AI60" s="388"/>
      <c r="AJ60" s="388"/>
    </row>
    <row r="61" s="11" customFormat="1" customHeight="1" spans="1:36">
      <c r="A61" s="348">
        <v>7</v>
      </c>
      <c r="B61" s="57" t="s">
        <v>326</v>
      </c>
      <c r="C61" s="57" t="s">
        <v>327</v>
      </c>
      <c r="D61" s="55" t="s">
        <v>327</v>
      </c>
      <c r="E61" s="57" t="s">
        <v>256</v>
      </c>
      <c r="F61" s="56">
        <v>7900</v>
      </c>
      <c r="G61" s="247"/>
      <c r="H61" s="57"/>
      <c r="I61" s="57"/>
      <c r="J61" s="57"/>
      <c r="K61" s="405"/>
      <c r="L61" s="405"/>
      <c r="M61" s="405"/>
      <c r="N61" s="405"/>
      <c r="O61" s="405"/>
      <c r="P61" s="405"/>
      <c r="Q61" s="405"/>
      <c r="R61" s="405"/>
      <c r="S61" s="405"/>
      <c r="T61" s="405"/>
      <c r="U61" s="405"/>
      <c r="V61" s="405"/>
      <c r="W61" s="405"/>
      <c r="X61" s="405"/>
      <c r="Y61" s="405"/>
      <c r="Z61" s="405"/>
      <c r="AA61" s="405"/>
      <c r="AB61" s="405"/>
      <c r="AC61" s="405"/>
      <c r="AD61" s="405"/>
      <c r="AE61" s="405"/>
      <c r="AF61" s="405"/>
      <c r="AG61" s="388"/>
      <c r="AH61" s="388"/>
      <c r="AI61" s="388"/>
      <c r="AJ61" s="388"/>
    </row>
    <row r="62" s="11" customFormat="1" customHeight="1" spans="1:36">
      <c r="A62" s="145"/>
      <c r="B62" s="57" t="s">
        <v>328</v>
      </c>
      <c r="C62" s="57" t="s">
        <v>327</v>
      </c>
      <c r="D62" s="55" t="s">
        <v>327</v>
      </c>
      <c r="E62" s="57" t="s">
        <v>295</v>
      </c>
      <c r="F62" s="56">
        <v>24400</v>
      </c>
      <c r="G62" s="247"/>
      <c r="H62" s="57"/>
      <c r="I62" s="57"/>
      <c r="J62" s="57"/>
      <c r="K62" s="405"/>
      <c r="L62" s="405"/>
      <c r="M62" s="405"/>
      <c r="N62" s="405"/>
      <c r="O62" s="405"/>
      <c r="P62" s="405"/>
      <c r="Q62" s="405"/>
      <c r="R62" s="405"/>
      <c r="S62" s="405"/>
      <c r="T62" s="405"/>
      <c r="U62" s="405"/>
      <c r="V62" s="405"/>
      <c r="W62" s="405"/>
      <c r="X62" s="405"/>
      <c r="Y62" s="405"/>
      <c r="Z62" s="405"/>
      <c r="AA62" s="405"/>
      <c r="AB62" s="405"/>
      <c r="AC62" s="405"/>
      <c r="AD62" s="405"/>
      <c r="AE62" s="405"/>
      <c r="AF62" s="405"/>
      <c r="AG62" s="388"/>
      <c r="AH62" s="388"/>
      <c r="AI62" s="388"/>
      <c r="AJ62" s="388"/>
    </row>
    <row r="63" s="11" customFormat="1" customHeight="1" spans="1:40">
      <c r="A63" s="348">
        <v>8</v>
      </c>
      <c r="B63" s="47" t="s">
        <v>298</v>
      </c>
      <c r="C63" s="57" t="s">
        <v>329</v>
      </c>
      <c r="D63" s="55" t="s">
        <v>329</v>
      </c>
      <c r="E63" s="57" t="s">
        <v>295</v>
      </c>
      <c r="F63" s="56">
        <v>0.0237</v>
      </c>
      <c r="G63" s="247"/>
      <c r="H63" s="57"/>
      <c r="I63" s="57"/>
      <c r="J63" s="57"/>
      <c r="K63" s="405"/>
      <c r="L63" s="405"/>
      <c r="M63" s="405"/>
      <c r="N63" s="405"/>
      <c r="O63" s="405"/>
      <c r="P63" s="405"/>
      <c r="Q63" s="405"/>
      <c r="R63" s="405"/>
      <c r="S63" s="405"/>
      <c r="T63" s="405"/>
      <c r="U63" s="405"/>
      <c r="V63" s="405"/>
      <c r="W63" s="405"/>
      <c r="X63" s="405"/>
      <c r="Y63" s="405"/>
      <c r="Z63" s="405"/>
      <c r="AA63" s="405"/>
      <c r="AB63" s="405"/>
      <c r="AC63" s="405"/>
      <c r="AD63" s="405"/>
      <c r="AE63" s="405"/>
      <c r="AF63" s="405"/>
      <c r="AG63" s="405"/>
      <c r="AH63" s="405"/>
      <c r="AI63" s="405"/>
      <c r="AJ63" s="405"/>
      <c r="AK63" s="405"/>
      <c r="AL63" s="405"/>
      <c r="AM63" s="405"/>
      <c r="AN63" s="405"/>
    </row>
    <row r="64" s="11" customFormat="1" customHeight="1" spans="1:40">
      <c r="A64" s="145"/>
      <c r="B64" s="47" t="s">
        <v>299</v>
      </c>
      <c r="C64" s="57" t="s">
        <v>329</v>
      </c>
      <c r="D64" s="55" t="s">
        <v>329</v>
      </c>
      <c r="E64" s="57" t="s">
        <v>256</v>
      </c>
      <c r="F64" s="56">
        <v>-0.14</v>
      </c>
      <c r="G64" s="247"/>
      <c r="H64" s="57"/>
      <c r="I64" s="57"/>
      <c r="J64" s="57"/>
      <c r="K64" s="405"/>
      <c r="L64" s="405"/>
      <c r="M64" s="405"/>
      <c r="N64" s="405"/>
      <c r="O64" s="405"/>
      <c r="P64" s="405"/>
      <c r="Q64" s="405"/>
      <c r="R64" s="405"/>
      <c r="S64" s="405"/>
      <c r="T64" s="405"/>
      <c r="U64" s="405"/>
      <c r="V64" s="405"/>
      <c r="W64" s="405"/>
      <c r="X64" s="405"/>
      <c r="Y64" s="405"/>
      <c r="Z64" s="405"/>
      <c r="AA64" s="405"/>
      <c r="AB64" s="405"/>
      <c r="AC64" s="405"/>
      <c r="AD64" s="405"/>
      <c r="AE64" s="405"/>
      <c r="AF64" s="405"/>
      <c r="AG64" s="405"/>
      <c r="AH64" s="405"/>
      <c r="AI64" s="405"/>
      <c r="AJ64" s="405"/>
      <c r="AK64" s="405"/>
      <c r="AL64" s="405"/>
      <c r="AM64" s="405"/>
      <c r="AN64" s="405"/>
    </row>
    <row r="65" s="11" customFormat="1" customHeight="1" spans="1:36">
      <c r="A65" s="348">
        <v>9</v>
      </c>
      <c r="B65" s="57" t="s">
        <v>330</v>
      </c>
      <c r="C65" s="57" t="s">
        <v>331</v>
      </c>
      <c r="D65" s="55" t="s">
        <v>331</v>
      </c>
      <c r="E65" s="57" t="s">
        <v>256</v>
      </c>
      <c r="F65" s="56">
        <v>7.29</v>
      </c>
      <c r="G65" s="247"/>
      <c r="H65" s="57"/>
      <c r="I65" s="57"/>
      <c r="J65" s="57"/>
      <c r="K65" s="405"/>
      <c r="L65" s="405"/>
      <c r="M65" s="405"/>
      <c r="N65" s="405"/>
      <c r="O65" s="405"/>
      <c r="P65" s="405"/>
      <c r="Q65" s="405"/>
      <c r="R65" s="405"/>
      <c r="S65" s="405"/>
      <c r="T65" s="405"/>
      <c r="U65" s="405"/>
      <c r="V65" s="405"/>
      <c r="W65" s="405"/>
      <c r="X65" s="405"/>
      <c r="Y65" s="405"/>
      <c r="Z65" s="405"/>
      <c r="AA65" s="405"/>
      <c r="AB65" s="405"/>
      <c r="AC65" s="405"/>
      <c r="AD65" s="405"/>
      <c r="AE65" s="405"/>
      <c r="AF65" s="405"/>
      <c r="AG65" s="388"/>
      <c r="AH65" s="388"/>
      <c r="AI65" s="388"/>
      <c r="AJ65" s="388"/>
    </row>
    <row r="66" s="11" customFormat="1" customHeight="1" spans="1:36">
      <c r="A66" s="145"/>
      <c r="B66" s="57" t="s">
        <v>332</v>
      </c>
      <c r="C66" s="57" t="s">
        <v>331</v>
      </c>
      <c r="D66" s="55" t="s">
        <v>331</v>
      </c>
      <c r="E66" s="57" t="s">
        <v>256</v>
      </c>
      <c r="F66" s="56">
        <v>3.57</v>
      </c>
      <c r="G66" s="247"/>
      <c r="H66" s="57"/>
      <c r="I66" s="57"/>
      <c r="J66" s="57"/>
      <c r="K66" s="405"/>
      <c r="L66" s="405"/>
      <c r="M66" s="405"/>
      <c r="N66" s="405"/>
      <c r="O66" s="405"/>
      <c r="P66" s="405"/>
      <c r="Q66" s="405"/>
      <c r="R66" s="405"/>
      <c r="S66" s="405"/>
      <c r="T66" s="405"/>
      <c r="U66" s="405"/>
      <c r="V66" s="405"/>
      <c r="W66" s="405"/>
      <c r="X66" s="405"/>
      <c r="Y66" s="405"/>
      <c r="Z66" s="405"/>
      <c r="AA66" s="405"/>
      <c r="AB66" s="405"/>
      <c r="AC66" s="405"/>
      <c r="AD66" s="405"/>
      <c r="AE66" s="405"/>
      <c r="AF66" s="405"/>
      <c r="AG66" s="388"/>
      <c r="AH66" s="388"/>
      <c r="AI66" s="388"/>
      <c r="AJ66" s="388"/>
    </row>
    <row r="67" s="11" customFormat="1" customHeight="1" spans="1:36">
      <c r="A67" s="145"/>
      <c r="B67" s="57" t="s">
        <v>333</v>
      </c>
      <c r="C67" s="57" t="s">
        <v>331</v>
      </c>
      <c r="D67" s="55" t="s">
        <v>331</v>
      </c>
      <c r="E67" s="57" t="s">
        <v>256</v>
      </c>
      <c r="F67" s="56">
        <v>3.57</v>
      </c>
      <c r="G67" s="247"/>
      <c r="H67" s="57"/>
      <c r="I67" s="57"/>
      <c r="J67" s="57"/>
      <c r="K67" s="405"/>
      <c r="L67" s="405"/>
      <c r="M67" s="405"/>
      <c r="N67" s="405"/>
      <c r="O67" s="405"/>
      <c r="P67" s="405"/>
      <c r="Q67" s="405"/>
      <c r="R67" s="405"/>
      <c r="S67" s="405"/>
      <c r="T67" s="405"/>
      <c r="U67" s="405"/>
      <c r="V67" s="405"/>
      <c r="W67" s="405"/>
      <c r="X67" s="405"/>
      <c r="Y67" s="405"/>
      <c r="Z67" s="405"/>
      <c r="AA67" s="405"/>
      <c r="AB67" s="405"/>
      <c r="AC67" s="405"/>
      <c r="AD67" s="405"/>
      <c r="AE67" s="405"/>
      <c r="AF67" s="405"/>
      <c r="AG67" s="388"/>
      <c r="AH67" s="388"/>
      <c r="AI67" s="388"/>
      <c r="AJ67" s="388"/>
    </row>
    <row r="68" s="11" customFormat="1" customHeight="1" spans="1:36">
      <c r="A68" s="348">
        <v>10</v>
      </c>
      <c r="B68" s="57" t="s">
        <v>334</v>
      </c>
      <c r="C68" s="57" t="s">
        <v>335</v>
      </c>
      <c r="D68" s="55" t="s">
        <v>335</v>
      </c>
      <c r="E68" s="409" t="s">
        <v>295</v>
      </c>
      <c r="F68" s="410">
        <v>0.0874</v>
      </c>
      <c r="G68" s="247"/>
      <c r="H68" s="57"/>
      <c r="I68" s="57"/>
      <c r="J68" s="57"/>
      <c r="K68" s="405"/>
      <c r="L68" s="405"/>
      <c r="M68" s="405"/>
      <c r="N68" s="405"/>
      <c r="O68" s="405"/>
      <c r="P68" s="405"/>
      <c r="Q68" s="405"/>
      <c r="R68" s="405"/>
      <c r="S68" s="405"/>
      <c r="T68" s="405"/>
      <c r="U68" s="405"/>
      <c r="V68" s="405"/>
      <c r="W68" s="405"/>
      <c r="X68" s="405"/>
      <c r="Y68" s="405"/>
      <c r="Z68" s="405"/>
      <c r="AA68" s="405"/>
      <c r="AB68" s="405"/>
      <c r="AC68" s="405"/>
      <c r="AD68" s="405"/>
      <c r="AE68" s="405"/>
      <c r="AF68" s="405"/>
      <c r="AG68" s="388"/>
      <c r="AH68" s="388"/>
      <c r="AI68" s="388"/>
      <c r="AJ68" s="388"/>
    </row>
    <row r="69" s="11" customFormat="1" customHeight="1" spans="1:36">
      <c r="A69" s="145"/>
      <c r="B69" s="57" t="s">
        <v>336</v>
      </c>
      <c r="C69" s="57" t="s">
        <v>335</v>
      </c>
      <c r="D69" s="55" t="s">
        <v>335</v>
      </c>
      <c r="E69" s="409" t="s">
        <v>256</v>
      </c>
      <c r="F69" s="410">
        <v>0.0063</v>
      </c>
      <c r="G69" s="247"/>
      <c r="H69" s="57"/>
      <c r="I69" s="57"/>
      <c r="J69" s="57"/>
      <c r="K69" s="405"/>
      <c r="L69" s="405"/>
      <c r="M69" s="405"/>
      <c r="N69" s="405"/>
      <c r="O69" s="405"/>
      <c r="P69" s="405"/>
      <c r="Q69" s="405"/>
      <c r="R69" s="405"/>
      <c r="S69" s="405"/>
      <c r="T69" s="405"/>
      <c r="U69" s="405"/>
      <c r="V69" s="405"/>
      <c r="W69" s="405"/>
      <c r="X69" s="405"/>
      <c r="Y69" s="405"/>
      <c r="Z69" s="405"/>
      <c r="AA69" s="405"/>
      <c r="AB69" s="405"/>
      <c r="AC69" s="405"/>
      <c r="AD69" s="405"/>
      <c r="AE69" s="405"/>
      <c r="AF69" s="405"/>
      <c r="AG69" s="388"/>
      <c r="AH69" s="388"/>
      <c r="AI69" s="388"/>
      <c r="AJ69" s="388"/>
    </row>
    <row r="70" s="11" customFormat="1" customHeight="1" spans="1:36">
      <c r="A70" s="145"/>
      <c r="B70" s="57" t="s">
        <v>337</v>
      </c>
      <c r="C70" s="57" t="s">
        <v>335</v>
      </c>
      <c r="D70" s="55" t="s">
        <v>335</v>
      </c>
      <c r="E70" s="409" t="s">
        <v>295</v>
      </c>
      <c r="F70" s="410">
        <v>0.015</v>
      </c>
      <c r="G70" s="247"/>
      <c r="H70" s="57"/>
      <c r="I70" s="57"/>
      <c r="J70" s="57"/>
      <c r="K70" s="405"/>
      <c r="L70" s="405"/>
      <c r="M70" s="405"/>
      <c r="N70" s="405"/>
      <c r="O70" s="405"/>
      <c r="P70" s="405"/>
      <c r="Q70" s="405"/>
      <c r="R70" s="405"/>
      <c r="S70" s="405"/>
      <c r="T70" s="405"/>
      <c r="U70" s="405"/>
      <c r="V70" s="405"/>
      <c r="W70" s="405"/>
      <c r="X70" s="405"/>
      <c r="Y70" s="405"/>
      <c r="Z70" s="405"/>
      <c r="AA70" s="405"/>
      <c r="AB70" s="405"/>
      <c r="AC70" s="405"/>
      <c r="AD70" s="405"/>
      <c r="AE70" s="405"/>
      <c r="AF70" s="405"/>
      <c r="AG70" s="388"/>
      <c r="AH70" s="388"/>
      <c r="AI70" s="388"/>
      <c r="AJ70" s="388"/>
    </row>
    <row r="71" s="11" customFormat="1" customHeight="1" spans="1:36">
      <c r="A71" s="145"/>
      <c r="B71" s="57" t="s">
        <v>338</v>
      </c>
      <c r="C71" s="57" t="s">
        <v>335</v>
      </c>
      <c r="D71" s="55" t="s">
        <v>335</v>
      </c>
      <c r="E71" s="409" t="s">
        <v>256</v>
      </c>
      <c r="F71" s="410">
        <v>0.0008</v>
      </c>
      <c r="G71" s="247"/>
      <c r="H71" s="57"/>
      <c r="I71" s="57"/>
      <c r="J71" s="57"/>
      <c r="K71" s="405"/>
      <c r="L71" s="405"/>
      <c r="M71" s="405"/>
      <c r="N71" s="405"/>
      <c r="O71" s="405"/>
      <c r="P71" s="405"/>
      <c r="Q71" s="405"/>
      <c r="R71" s="405"/>
      <c r="S71" s="405"/>
      <c r="T71" s="405"/>
      <c r="U71" s="405"/>
      <c r="V71" s="405"/>
      <c r="W71" s="405"/>
      <c r="X71" s="405"/>
      <c r="Y71" s="405"/>
      <c r="Z71" s="405"/>
      <c r="AA71" s="405"/>
      <c r="AB71" s="405"/>
      <c r="AC71" s="405"/>
      <c r="AD71" s="405"/>
      <c r="AE71" s="405"/>
      <c r="AF71" s="405"/>
      <c r="AG71" s="388"/>
      <c r="AH71" s="388"/>
      <c r="AI71" s="388"/>
      <c r="AJ71" s="388"/>
    </row>
    <row r="72" customHeight="1" spans="1:40">
      <c r="A72" s="348">
        <v>11</v>
      </c>
      <c r="B72" s="57" t="s">
        <v>339</v>
      </c>
      <c r="C72" s="57" t="s">
        <v>340</v>
      </c>
      <c r="D72" s="55" t="s">
        <v>340</v>
      </c>
      <c r="E72" s="57" t="s">
        <v>295</v>
      </c>
      <c r="F72" s="57" t="s">
        <v>295</v>
      </c>
      <c r="G72" s="247"/>
      <c r="H72" s="57"/>
      <c r="I72" s="57"/>
      <c r="J72" s="57"/>
      <c r="K72" s="320"/>
      <c r="L72" s="320"/>
      <c r="M72" s="320"/>
      <c r="N72" s="320"/>
      <c r="O72" s="320"/>
      <c r="P72" s="320"/>
      <c r="Q72" s="320"/>
      <c r="R72" s="320"/>
      <c r="S72" s="320"/>
      <c r="T72" s="320"/>
      <c r="U72" s="320"/>
      <c r="V72" s="320"/>
      <c r="W72" s="320"/>
      <c r="X72" s="320"/>
      <c r="Y72" s="320"/>
      <c r="Z72" s="320"/>
      <c r="AA72" s="320"/>
      <c r="AB72" s="320"/>
      <c r="AC72" s="320"/>
      <c r="AD72" s="320"/>
      <c r="AE72" s="320"/>
      <c r="AF72" s="320"/>
      <c r="AG72" s="320"/>
      <c r="AH72" s="320"/>
      <c r="AI72" s="320"/>
      <c r="AJ72" s="320"/>
      <c r="AK72" s="320"/>
      <c r="AL72" s="320"/>
      <c r="AM72" s="320"/>
      <c r="AN72" s="320"/>
    </row>
    <row r="73" customHeight="1" spans="1:40">
      <c r="A73" s="127"/>
      <c r="B73" s="57" t="s">
        <v>341</v>
      </c>
      <c r="C73" s="57" t="s">
        <v>340</v>
      </c>
      <c r="D73" s="55" t="s">
        <v>340</v>
      </c>
      <c r="E73" s="57" t="s">
        <v>256</v>
      </c>
      <c r="F73" s="57" t="s">
        <v>256</v>
      </c>
      <c r="G73" s="247"/>
      <c r="H73" s="57"/>
      <c r="I73" s="57"/>
      <c r="J73" s="57"/>
      <c r="K73" s="320"/>
      <c r="L73" s="320"/>
      <c r="M73" s="320"/>
      <c r="N73" s="320"/>
      <c r="O73" s="320"/>
      <c r="P73" s="320"/>
      <c r="Q73" s="320"/>
      <c r="R73" s="320"/>
      <c r="S73" s="320"/>
      <c r="T73" s="320"/>
      <c r="U73" s="320"/>
      <c r="V73" s="320"/>
      <c r="W73" s="320"/>
      <c r="X73" s="320"/>
      <c r="Y73" s="320"/>
      <c r="Z73" s="320"/>
      <c r="AA73" s="320"/>
      <c r="AB73" s="320"/>
      <c r="AC73" s="320"/>
      <c r="AD73" s="320"/>
      <c r="AE73" s="320"/>
      <c r="AF73" s="320"/>
      <c r="AG73" s="320"/>
      <c r="AH73" s="320"/>
      <c r="AI73" s="320"/>
      <c r="AJ73" s="320"/>
      <c r="AK73" s="320"/>
      <c r="AL73" s="320"/>
      <c r="AM73" s="320"/>
      <c r="AN73" s="320"/>
    </row>
    <row r="74" customHeight="1" spans="1:40">
      <c r="A74" s="127"/>
      <c r="B74" s="57" t="s">
        <v>342</v>
      </c>
      <c r="C74" s="57" t="s">
        <v>340</v>
      </c>
      <c r="D74" s="55" t="s">
        <v>340</v>
      </c>
      <c r="E74" s="57" t="s">
        <v>256</v>
      </c>
      <c r="F74" s="57" t="s">
        <v>256</v>
      </c>
      <c r="G74" s="247"/>
      <c r="H74" s="57"/>
      <c r="I74" s="57"/>
      <c r="J74" s="57"/>
      <c r="K74" s="320"/>
      <c r="L74" s="320"/>
      <c r="M74" s="320"/>
      <c r="N74" s="320"/>
      <c r="O74" s="320"/>
      <c r="P74" s="320"/>
      <c r="Q74" s="320"/>
      <c r="R74" s="320"/>
      <c r="S74" s="320"/>
      <c r="T74" s="320"/>
      <c r="U74" s="320"/>
      <c r="V74" s="320"/>
      <c r="W74" s="320"/>
      <c r="X74" s="320"/>
      <c r="Y74" s="320"/>
      <c r="Z74" s="320"/>
      <c r="AA74" s="320"/>
      <c r="AB74" s="320"/>
      <c r="AC74" s="320"/>
      <c r="AD74" s="320"/>
      <c r="AE74" s="320"/>
      <c r="AF74" s="320"/>
      <c r="AG74" s="320"/>
      <c r="AH74" s="320"/>
      <c r="AI74" s="320"/>
      <c r="AJ74" s="320"/>
      <c r="AK74" s="320"/>
      <c r="AL74" s="320"/>
      <c r="AM74" s="320"/>
      <c r="AN74" s="320"/>
    </row>
    <row r="75" customHeight="1" spans="1:40">
      <c r="A75" s="127"/>
      <c r="B75" s="411" t="s">
        <v>343</v>
      </c>
      <c r="C75" s="57" t="s">
        <v>340</v>
      </c>
      <c r="D75" s="55" t="s">
        <v>340</v>
      </c>
      <c r="E75" s="57" t="s">
        <v>256</v>
      </c>
      <c r="F75" s="57" t="s">
        <v>256</v>
      </c>
      <c r="G75" s="247"/>
      <c r="H75" s="57"/>
      <c r="I75" s="57"/>
      <c r="J75" s="57"/>
      <c r="K75" s="320"/>
      <c r="L75" s="320"/>
      <c r="M75" s="320"/>
      <c r="N75" s="320"/>
      <c r="O75" s="320"/>
      <c r="P75" s="320"/>
      <c r="Q75" s="320"/>
      <c r="R75" s="320"/>
      <c r="S75" s="320"/>
      <c r="T75" s="320"/>
      <c r="U75" s="320"/>
      <c r="V75" s="320"/>
      <c r="W75" s="320"/>
      <c r="X75" s="320"/>
      <c r="Y75" s="320"/>
      <c r="Z75" s="320"/>
      <c r="AA75" s="320"/>
      <c r="AB75" s="320"/>
      <c r="AC75" s="320"/>
      <c r="AD75" s="320"/>
      <c r="AE75" s="320"/>
      <c r="AF75" s="320"/>
      <c r="AG75" s="320"/>
      <c r="AH75" s="320"/>
      <c r="AI75" s="320"/>
      <c r="AJ75" s="320"/>
      <c r="AK75" s="320"/>
      <c r="AL75" s="320"/>
      <c r="AM75" s="320"/>
      <c r="AN75" s="320"/>
    </row>
    <row r="76" customHeight="1" spans="1:40">
      <c r="A76" s="127"/>
      <c r="B76" s="411" t="s">
        <v>344</v>
      </c>
      <c r="C76" s="57" t="s">
        <v>340</v>
      </c>
      <c r="D76" s="55" t="s">
        <v>340</v>
      </c>
      <c r="E76" s="57" t="s">
        <v>256</v>
      </c>
      <c r="F76" s="57" t="s">
        <v>256</v>
      </c>
      <c r="G76" s="247"/>
      <c r="H76" s="57"/>
      <c r="I76" s="57"/>
      <c r="J76" s="57"/>
      <c r="K76" s="320"/>
      <c r="L76" s="320"/>
      <c r="M76" s="320"/>
      <c r="N76" s="320"/>
      <c r="O76" s="320"/>
      <c r="P76" s="320"/>
      <c r="Q76" s="320"/>
      <c r="R76" s="320"/>
      <c r="S76" s="320"/>
      <c r="T76" s="320"/>
      <c r="U76" s="320"/>
      <c r="V76" s="320"/>
      <c r="W76" s="320"/>
      <c r="X76" s="320"/>
      <c r="Y76" s="320"/>
      <c r="Z76" s="320"/>
      <c r="AA76" s="320"/>
      <c r="AB76" s="320"/>
      <c r="AC76" s="320"/>
      <c r="AD76" s="320"/>
      <c r="AE76" s="320"/>
      <c r="AF76" s="320"/>
      <c r="AG76" s="320"/>
      <c r="AH76" s="320"/>
      <c r="AI76" s="320"/>
      <c r="AJ76" s="320"/>
      <c r="AK76" s="320"/>
      <c r="AL76" s="320"/>
      <c r="AM76" s="320"/>
      <c r="AN76" s="320"/>
    </row>
    <row r="77" customHeight="1" spans="1:40">
      <c r="A77" s="127"/>
      <c r="B77" s="57" t="s">
        <v>345</v>
      </c>
      <c r="C77" s="57" t="s">
        <v>340</v>
      </c>
      <c r="D77" s="55" t="s">
        <v>340</v>
      </c>
      <c r="E77" s="57" t="s">
        <v>256</v>
      </c>
      <c r="F77" s="57" t="s">
        <v>256</v>
      </c>
      <c r="G77" s="247"/>
      <c r="H77" s="57"/>
      <c r="I77" s="57"/>
      <c r="J77" s="57"/>
      <c r="K77" s="320"/>
      <c r="L77" s="320"/>
      <c r="M77" s="320"/>
      <c r="N77" s="320"/>
      <c r="O77" s="320"/>
      <c r="P77" s="320"/>
      <c r="Q77" s="320"/>
      <c r="R77" s="320"/>
      <c r="S77" s="320"/>
      <c r="T77" s="320"/>
      <c r="U77" s="320"/>
      <c r="V77" s="320"/>
      <c r="W77" s="320"/>
      <c r="X77" s="320"/>
      <c r="Y77" s="320"/>
      <c r="Z77" s="320"/>
      <c r="AA77" s="320"/>
      <c r="AB77" s="320"/>
      <c r="AC77" s="320"/>
      <c r="AD77" s="320"/>
      <c r="AE77" s="320"/>
      <c r="AF77" s="320"/>
      <c r="AG77" s="320"/>
      <c r="AH77" s="320"/>
      <c r="AI77" s="320"/>
      <c r="AJ77" s="320"/>
      <c r="AK77" s="320"/>
      <c r="AL77" s="320"/>
      <c r="AM77" s="320"/>
      <c r="AN77" s="320"/>
    </row>
    <row r="78" customHeight="1" spans="1:40">
      <c r="A78" s="127"/>
      <c r="B78" s="57" t="s">
        <v>346</v>
      </c>
      <c r="C78" s="57" t="s">
        <v>340</v>
      </c>
      <c r="D78" s="55" t="s">
        <v>340</v>
      </c>
      <c r="E78" s="57" t="s">
        <v>256</v>
      </c>
      <c r="F78" s="57" t="s">
        <v>256</v>
      </c>
      <c r="G78" s="247"/>
      <c r="H78" s="57"/>
      <c r="I78" s="57"/>
      <c r="J78" s="57"/>
      <c r="K78" s="320"/>
      <c r="L78" s="320"/>
      <c r="M78" s="320"/>
      <c r="N78" s="320"/>
      <c r="O78" s="320"/>
      <c r="P78" s="320"/>
      <c r="Q78" s="320"/>
      <c r="R78" s="320"/>
      <c r="S78" s="320"/>
      <c r="T78" s="320"/>
      <c r="U78" s="320"/>
      <c r="V78" s="320"/>
      <c r="W78" s="320"/>
      <c r="X78" s="320"/>
      <c r="Y78" s="320"/>
      <c r="Z78" s="320"/>
      <c r="AA78" s="320"/>
      <c r="AB78" s="320"/>
      <c r="AC78" s="320"/>
      <c r="AD78" s="320"/>
      <c r="AE78" s="320"/>
      <c r="AF78" s="320"/>
      <c r="AG78" s="320"/>
      <c r="AH78" s="320"/>
      <c r="AI78" s="320"/>
      <c r="AJ78" s="320"/>
      <c r="AK78" s="320"/>
      <c r="AL78" s="320"/>
      <c r="AM78" s="320"/>
      <c r="AN78" s="320"/>
    </row>
    <row r="79" customHeight="1" spans="1:40">
      <c r="A79" s="348">
        <v>12</v>
      </c>
      <c r="B79" s="57" t="s">
        <v>347</v>
      </c>
      <c r="C79" s="57" t="s">
        <v>348</v>
      </c>
      <c r="D79" s="55" t="s">
        <v>348</v>
      </c>
      <c r="E79" s="57" t="s">
        <v>295</v>
      </c>
      <c r="F79" s="57" t="s">
        <v>295</v>
      </c>
      <c r="G79" s="247"/>
      <c r="H79" s="57"/>
      <c r="I79" s="57"/>
      <c r="J79" s="57"/>
      <c r="K79" s="320"/>
      <c r="L79" s="320"/>
      <c r="M79" s="320"/>
      <c r="N79" s="320"/>
      <c r="O79" s="320"/>
      <c r="P79" s="320"/>
      <c r="Q79" s="320"/>
      <c r="R79" s="320"/>
      <c r="S79" s="320"/>
      <c r="T79" s="320"/>
      <c r="U79" s="320"/>
      <c r="V79" s="320"/>
      <c r="W79" s="320"/>
      <c r="X79" s="320"/>
      <c r="Y79" s="320"/>
      <c r="Z79" s="320"/>
      <c r="AA79" s="320"/>
      <c r="AB79" s="320"/>
      <c r="AC79" s="320"/>
      <c r="AD79" s="320"/>
      <c r="AE79" s="320"/>
      <c r="AF79" s="320"/>
      <c r="AG79" s="320"/>
      <c r="AH79" s="320"/>
      <c r="AI79" s="320"/>
      <c r="AJ79" s="320"/>
      <c r="AK79" s="320"/>
      <c r="AL79" s="320"/>
      <c r="AM79" s="320"/>
      <c r="AN79" s="320"/>
    </row>
    <row r="80" customHeight="1" spans="1:40">
      <c r="A80" s="145"/>
      <c r="B80" s="57" t="s">
        <v>349</v>
      </c>
      <c r="C80" s="57" t="s">
        <v>348</v>
      </c>
      <c r="D80" s="55" t="s">
        <v>348</v>
      </c>
      <c r="E80" s="57" t="s">
        <v>256</v>
      </c>
      <c r="F80" s="57" t="s">
        <v>256</v>
      </c>
      <c r="G80" s="247"/>
      <c r="H80" s="57"/>
      <c r="I80" s="57"/>
      <c r="J80" s="57"/>
      <c r="K80" s="320"/>
      <c r="L80" s="320"/>
      <c r="M80" s="320"/>
      <c r="N80" s="320"/>
      <c r="O80" s="320"/>
      <c r="P80" s="320"/>
      <c r="Q80" s="320"/>
      <c r="R80" s="320"/>
      <c r="S80" s="320"/>
      <c r="T80" s="320"/>
      <c r="U80" s="320"/>
      <c r="V80" s="320"/>
      <c r="W80" s="320"/>
      <c r="X80" s="320"/>
      <c r="Y80" s="320"/>
      <c r="Z80" s="320"/>
      <c r="AA80" s="320"/>
      <c r="AB80" s="320"/>
      <c r="AC80" s="320"/>
      <c r="AD80" s="320"/>
      <c r="AE80" s="320"/>
      <c r="AF80" s="320"/>
      <c r="AG80" s="320"/>
      <c r="AH80" s="320"/>
      <c r="AI80" s="320"/>
      <c r="AJ80" s="320"/>
      <c r="AK80" s="320"/>
      <c r="AL80" s="320"/>
      <c r="AM80" s="320"/>
      <c r="AN80" s="320"/>
    </row>
    <row r="81" customHeight="1" spans="1:40">
      <c r="A81" s="145"/>
      <c r="B81" s="57" t="s">
        <v>350</v>
      </c>
      <c r="C81" s="57" t="s">
        <v>348</v>
      </c>
      <c r="D81" s="55" t="s">
        <v>348</v>
      </c>
      <c r="E81" s="57" t="s">
        <v>295</v>
      </c>
      <c r="F81" s="57" t="s">
        <v>295</v>
      </c>
      <c r="G81" s="247"/>
      <c r="H81" s="57"/>
      <c r="I81" s="57"/>
      <c r="J81" s="57"/>
      <c r="K81" s="320"/>
      <c r="L81" s="320"/>
      <c r="M81" s="320"/>
      <c r="N81" s="320"/>
      <c r="O81" s="320"/>
      <c r="P81" s="320"/>
      <c r="Q81" s="320"/>
      <c r="R81" s="320"/>
      <c r="S81" s="320"/>
      <c r="T81" s="320"/>
      <c r="U81" s="320"/>
      <c r="V81" s="320"/>
      <c r="W81" s="320"/>
      <c r="X81" s="320"/>
      <c r="Y81" s="320"/>
      <c r="Z81" s="320"/>
      <c r="AA81" s="320"/>
      <c r="AB81" s="320"/>
      <c r="AC81" s="320"/>
      <c r="AD81" s="320"/>
      <c r="AE81" s="320"/>
      <c r="AF81" s="320"/>
      <c r="AG81" s="320"/>
      <c r="AH81" s="320"/>
      <c r="AI81" s="320"/>
      <c r="AJ81" s="320"/>
      <c r="AK81" s="320"/>
      <c r="AL81" s="320"/>
      <c r="AM81" s="320"/>
      <c r="AN81" s="320"/>
    </row>
    <row r="82" customHeight="1" spans="1:40">
      <c r="A82" s="348">
        <v>13</v>
      </c>
      <c r="B82" s="57" t="s">
        <v>351</v>
      </c>
      <c r="C82" s="57" t="s">
        <v>352</v>
      </c>
      <c r="D82" s="55" t="s">
        <v>352</v>
      </c>
      <c r="E82" s="57" t="s">
        <v>256</v>
      </c>
      <c r="F82" s="57" t="s">
        <v>256</v>
      </c>
      <c r="G82" s="378"/>
      <c r="H82" s="57"/>
      <c r="I82" s="57"/>
      <c r="J82" s="57"/>
      <c r="K82" s="320"/>
      <c r="L82" s="320"/>
      <c r="M82" s="320"/>
      <c r="N82" s="320"/>
      <c r="O82" s="320"/>
      <c r="P82" s="320"/>
      <c r="Q82" s="320"/>
      <c r="R82" s="320"/>
      <c r="S82" s="320"/>
      <c r="T82" s="320"/>
      <c r="U82" s="320"/>
      <c r="V82" s="320"/>
      <c r="W82" s="320"/>
      <c r="X82" s="320"/>
      <c r="Y82" s="320"/>
      <c r="Z82" s="320"/>
      <c r="AA82" s="320"/>
      <c r="AB82" s="320"/>
      <c r="AC82" s="320"/>
      <c r="AD82" s="320"/>
      <c r="AE82" s="320"/>
      <c r="AF82" s="320"/>
      <c r="AG82" s="320"/>
      <c r="AH82" s="320"/>
      <c r="AI82" s="320"/>
      <c r="AJ82" s="320"/>
      <c r="AK82" s="320"/>
      <c r="AL82" s="320"/>
      <c r="AM82" s="320"/>
      <c r="AN82" s="320"/>
    </row>
    <row r="83" customHeight="1" spans="1:40">
      <c r="A83" s="145"/>
      <c r="B83" s="57" t="s">
        <v>353</v>
      </c>
      <c r="C83" s="57" t="s">
        <v>352</v>
      </c>
      <c r="D83" s="225" t="s">
        <v>352</v>
      </c>
      <c r="E83" s="57" t="s">
        <v>295</v>
      </c>
      <c r="F83" s="57" t="s">
        <v>295</v>
      </c>
      <c r="G83" s="247"/>
      <c r="H83" s="57"/>
      <c r="I83" s="57"/>
      <c r="J83" s="57"/>
      <c r="K83" s="320"/>
      <c r="L83" s="320"/>
      <c r="M83" s="320"/>
      <c r="N83" s="320"/>
      <c r="O83" s="320"/>
      <c r="P83" s="320"/>
      <c r="Q83" s="320"/>
      <c r="R83" s="320"/>
      <c r="S83" s="320"/>
      <c r="T83" s="320"/>
      <c r="U83" s="320"/>
      <c r="V83" s="320"/>
      <c r="W83" s="320"/>
      <c r="X83" s="320"/>
      <c r="Y83" s="320"/>
      <c r="Z83" s="320"/>
      <c r="AA83" s="320"/>
      <c r="AB83" s="320"/>
      <c r="AC83" s="320"/>
      <c r="AD83" s="320"/>
      <c r="AE83" s="320"/>
      <c r="AF83" s="320"/>
      <c r="AG83" s="320"/>
      <c r="AH83" s="320"/>
      <c r="AI83" s="320"/>
      <c r="AJ83" s="320"/>
      <c r="AK83" s="320"/>
      <c r="AL83" s="320"/>
      <c r="AM83" s="320"/>
      <c r="AN83" s="320"/>
    </row>
    <row r="84" customHeight="1" spans="1:40">
      <c r="A84" s="145"/>
      <c r="B84" s="57" t="s">
        <v>354</v>
      </c>
      <c r="C84" s="57" t="s">
        <v>352</v>
      </c>
      <c r="D84" s="55" t="s">
        <v>352</v>
      </c>
      <c r="E84" s="57" t="s">
        <v>256</v>
      </c>
      <c r="F84" s="57" t="s">
        <v>295</v>
      </c>
      <c r="G84" s="247"/>
      <c r="H84" s="57"/>
      <c r="I84" s="57"/>
      <c r="J84" s="57"/>
      <c r="K84" s="320"/>
      <c r="L84" s="320"/>
      <c r="M84" s="320"/>
      <c r="N84" s="320"/>
      <c r="O84" s="320"/>
      <c r="P84" s="320"/>
      <c r="Q84" s="320"/>
      <c r="R84" s="320"/>
      <c r="S84" s="320"/>
      <c r="T84" s="320"/>
      <c r="U84" s="320"/>
      <c r="V84" s="320"/>
      <c r="W84" s="320"/>
      <c r="X84" s="320"/>
      <c r="Y84" s="320"/>
      <c r="Z84" s="320"/>
      <c r="AA84" s="320"/>
      <c r="AB84" s="320"/>
      <c r="AC84" s="320"/>
      <c r="AD84" s="320"/>
      <c r="AE84" s="320"/>
      <c r="AF84" s="320"/>
      <c r="AG84" s="320"/>
      <c r="AH84" s="320"/>
      <c r="AI84" s="320"/>
      <c r="AJ84" s="320"/>
      <c r="AK84" s="320"/>
      <c r="AL84" s="320"/>
      <c r="AM84" s="320"/>
      <c r="AN84" s="320"/>
    </row>
    <row r="85" customHeight="1" spans="1:40">
      <c r="A85" s="145"/>
      <c r="B85" s="57" t="s">
        <v>355</v>
      </c>
      <c r="C85" s="57" t="s">
        <v>352</v>
      </c>
      <c r="D85" s="55" t="s">
        <v>352</v>
      </c>
      <c r="E85" s="57" t="s">
        <v>256</v>
      </c>
      <c r="F85" s="57" t="s">
        <v>256</v>
      </c>
      <c r="G85" s="247"/>
      <c r="H85" s="55"/>
      <c r="I85" s="55"/>
      <c r="J85" s="55"/>
      <c r="K85" s="320"/>
      <c r="L85" s="320"/>
      <c r="M85" s="320"/>
      <c r="N85" s="320"/>
      <c r="O85" s="320"/>
      <c r="P85" s="320"/>
      <c r="Q85" s="320"/>
      <c r="R85" s="320"/>
      <c r="S85" s="320"/>
      <c r="T85" s="320"/>
      <c r="U85" s="320"/>
      <c r="V85" s="320"/>
      <c r="W85" s="320"/>
      <c r="X85" s="320"/>
      <c r="Y85" s="320"/>
      <c r="Z85" s="320"/>
      <c r="AA85" s="320"/>
      <c r="AB85" s="320"/>
      <c r="AC85" s="320"/>
      <c r="AD85" s="320"/>
      <c r="AE85" s="320"/>
      <c r="AF85" s="320"/>
      <c r="AG85" s="320"/>
      <c r="AH85" s="320"/>
      <c r="AI85" s="320"/>
      <c r="AJ85" s="320"/>
      <c r="AK85" s="320"/>
      <c r="AL85" s="320"/>
      <c r="AM85" s="320"/>
      <c r="AN85" s="320"/>
    </row>
    <row r="86" s="11" customFormat="1" customHeight="1" spans="1:40">
      <c r="A86" s="348">
        <v>14</v>
      </c>
      <c r="B86" s="57" t="s">
        <v>356</v>
      </c>
      <c r="C86" s="57" t="s">
        <v>357</v>
      </c>
      <c r="D86" s="55" t="s">
        <v>357</v>
      </c>
      <c r="E86" s="57" t="s">
        <v>256</v>
      </c>
      <c r="F86" s="57" t="s">
        <v>256</v>
      </c>
      <c r="G86" s="247"/>
      <c r="H86" s="57"/>
      <c r="I86" s="57"/>
      <c r="J86" s="57"/>
      <c r="K86" s="320"/>
      <c r="L86" s="320"/>
      <c r="M86" s="320"/>
      <c r="N86" s="320"/>
      <c r="O86" s="320"/>
      <c r="P86" s="320"/>
      <c r="Q86" s="320"/>
      <c r="R86" s="320"/>
      <c r="S86" s="320"/>
      <c r="T86" s="320"/>
      <c r="U86" s="320"/>
      <c r="V86" s="320"/>
      <c r="W86" s="320"/>
      <c r="X86" s="320"/>
      <c r="Y86" s="320"/>
      <c r="Z86" s="320"/>
      <c r="AA86" s="320"/>
      <c r="AB86" s="320"/>
      <c r="AC86" s="320"/>
      <c r="AD86" s="320"/>
      <c r="AE86" s="320"/>
      <c r="AF86" s="320"/>
      <c r="AG86" s="320"/>
      <c r="AH86" s="320"/>
      <c r="AI86" s="320"/>
      <c r="AJ86" s="320"/>
      <c r="AK86" s="320"/>
      <c r="AL86" s="320"/>
      <c r="AM86" s="320"/>
      <c r="AN86" s="320"/>
    </row>
    <row r="87" s="11" customFormat="1" customHeight="1" spans="1:40">
      <c r="A87" s="127"/>
      <c r="B87" s="57" t="s">
        <v>358</v>
      </c>
      <c r="C87" s="57" t="s">
        <v>357</v>
      </c>
      <c r="D87" s="55" t="s">
        <v>357</v>
      </c>
      <c r="E87" s="57" t="s">
        <v>256</v>
      </c>
      <c r="F87" s="57" t="s">
        <v>256</v>
      </c>
      <c r="G87" s="247"/>
      <c r="H87" s="57"/>
      <c r="I87" s="57"/>
      <c r="J87" s="57"/>
      <c r="K87" s="320"/>
      <c r="L87" s="320"/>
      <c r="M87" s="320"/>
      <c r="N87" s="320"/>
      <c r="O87" s="320"/>
      <c r="P87" s="320"/>
      <c r="Q87" s="320"/>
      <c r="R87" s="320"/>
      <c r="S87" s="320"/>
      <c r="T87" s="320"/>
      <c r="U87" s="320"/>
      <c r="V87" s="320"/>
      <c r="W87" s="320"/>
      <c r="X87" s="320"/>
      <c r="Y87" s="320"/>
      <c r="Z87" s="320"/>
      <c r="AA87" s="320"/>
      <c r="AB87" s="320"/>
      <c r="AC87" s="320"/>
      <c r="AD87" s="320"/>
      <c r="AE87" s="320"/>
      <c r="AF87" s="320"/>
      <c r="AG87" s="320"/>
      <c r="AH87" s="320"/>
      <c r="AI87" s="320"/>
      <c r="AJ87" s="320"/>
      <c r="AK87" s="320"/>
      <c r="AL87" s="320"/>
      <c r="AM87" s="320"/>
      <c r="AN87" s="320"/>
    </row>
    <row r="88" s="11" customFormat="1" customHeight="1" spans="1:40">
      <c r="A88" s="127"/>
      <c r="B88" s="57" t="s">
        <v>359</v>
      </c>
      <c r="C88" s="57" t="s">
        <v>357</v>
      </c>
      <c r="D88" s="55" t="s">
        <v>357</v>
      </c>
      <c r="E88" s="57" t="s">
        <v>256</v>
      </c>
      <c r="F88" s="57" t="s">
        <v>256</v>
      </c>
      <c r="G88" s="247"/>
      <c r="H88" s="57"/>
      <c r="I88" s="57"/>
      <c r="J88" s="57"/>
      <c r="K88" s="320"/>
      <c r="L88" s="320"/>
      <c r="M88" s="320"/>
      <c r="N88" s="320"/>
      <c r="O88" s="320"/>
      <c r="P88" s="320"/>
      <c r="Q88" s="320"/>
      <c r="R88" s="320"/>
      <c r="S88" s="320"/>
      <c r="T88" s="320"/>
      <c r="U88" s="320"/>
      <c r="V88" s="320"/>
      <c r="W88" s="320"/>
      <c r="X88" s="320"/>
      <c r="Y88" s="320"/>
      <c r="Z88" s="320"/>
      <c r="AA88" s="320"/>
      <c r="AB88" s="320"/>
      <c r="AC88" s="320"/>
      <c r="AD88" s="320"/>
      <c r="AE88" s="320"/>
      <c r="AF88" s="320"/>
      <c r="AG88" s="320"/>
      <c r="AH88" s="320"/>
      <c r="AI88" s="320"/>
      <c r="AJ88" s="320"/>
      <c r="AK88" s="320"/>
      <c r="AL88" s="320"/>
      <c r="AM88" s="320"/>
      <c r="AN88" s="320"/>
    </row>
    <row r="89" s="11" customFormat="1" customHeight="1" spans="1:40">
      <c r="A89" s="127"/>
      <c r="B89" s="47" t="s">
        <v>353</v>
      </c>
      <c r="C89" s="57" t="s">
        <v>357</v>
      </c>
      <c r="D89" s="55" t="s">
        <v>357</v>
      </c>
      <c r="E89" s="57" t="s">
        <v>295</v>
      </c>
      <c r="F89" s="57" t="s">
        <v>295</v>
      </c>
      <c r="G89" s="247"/>
      <c r="H89" s="57"/>
      <c r="I89" s="57"/>
      <c r="J89" s="57"/>
      <c r="K89" s="320"/>
      <c r="L89" s="320"/>
      <c r="M89" s="320"/>
      <c r="N89" s="320"/>
      <c r="O89" s="320"/>
      <c r="P89" s="320"/>
      <c r="Q89" s="320"/>
      <c r="R89" s="320"/>
      <c r="S89" s="320"/>
      <c r="T89" s="320"/>
      <c r="U89" s="320"/>
      <c r="V89" s="320"/>
      <c r="W89" s="320"/>
      <c r="X89" s="320"/>
      <c r="Y89" s="320"/>
      <c r="Z89" s="320"/>
      <c r="AA89" s="320"/>
      <c r="AB89" s="320"/>
      <c r="AC89" s="320"/>
      <c r="AD89" s="320"/>
      <c r="AE89" s="320"/>
      <c r="AF89" s="320"/>
      <c r="AG89" s="320"/>
      <c r="AH89" s="320"/>
      <c r="AI89" s="320"/>
      <c r="AJ89" s="320"/>
      <c r="AK89" s="320"/>
      <c r="AL89" s="320"/>
      <c r="AM89" s="320"/>
      <c r="AN89" s="320"/>
    </row>
    <row r="90" s="11" customFormat="1" customHeight="1" spans="1:40">
      <c r="A90" s="127"/>
      <c r="B90" s="47" t="s">
        <v>360</v>
      </c>
      <c r="C90" s="57" t="s">
        <v>357</v>
      </c>
      <c r="D90" s="55" t="s">
        <v>357</v>
      </c>
      <c r="E90" s="57" t="s">
        <v>256</v>
      </c>
      <c r="F90" s="57" t="s">
        <v>256</v>
      </c>
      <c r="G90" s="247"/>
      <c r="H90" s="57"/>
      <c r="I90" s="57"/>
      <c r="J90" s="57"/>
      <c r="K90" s="320"/>
      <c r="L90" s="320"/>
      <c r="M90" s="320"/>
      <c r="N90" s="320"/>
      <c r="O90" s="320"/>
      <c r="P90" s="320"/>
      <c r="Q90" s="320"/>
      <c r="R90" s="320"/>
      <c r="S90" s="320"/>
      <c r="T90" s="320"/>
      <c r="U90" s="320"/>
      <c r="V90" s="320"/>
      <c r="W90" s="320"/>
      <c r="X90" s="320"/>
      <c r="Y90" s="320"/>
      <c r="Z90" s="320"/>
      <c r="AA90" s="320"/>
      <c r="AB90" s="320"/>
      <c r="AC90" s="320"/>
      <c r="AD90" s="320"/>
      <c r="AE90" s="320"/>
      <c r="AF90" s="320"/>
      <c r="AG90" s="320"/>
      <c r="AH90" s="320"/>
      <c r="AI90" s="320"/>
      <c r="AJ90" s="320"/>
      <c r="AK90" s="320"/>
      <c r="AL90" s="320"/>
      <c r="AM90" s="320"/>
      <c r="AN90" s="320"/>
    </row>
    <row r="91" s="11" customFormat="1" customHeight="1" spans="1:40">
      <c r="A91" s="127"/>
      <c r="B91" s="47" t="s">
        <v>361</v>
      </c>
      <c r="C91" s="57" t="s">
        <v>357</v>
      </c>
      <c r="D91" s="55" t="s">
        <v>357</v>
      </c>
      <c r="E91" s="57" t="s">
        <v>256</v>
      </c>
      <c r="F91" s="57" t="s">
        <v>256</v>
      </c>
      <c r="G91" s="247"/>
      <c r="H91" s="57"/>
      <c r="I91" s="57"/>
      <c r="J91" s="57"/>
      <c r="K91" s="320"/>
      <c r="L91" s="320"/>
      <c r="M91" s="320"/>
      <c r="N91" s="320"/>
      <c r="O91" s="320"/>
      <c r="P91" s="320"/>
      <c r="Q91" s="320"/>
      <c r="R91" s="320"/>
      <c r="S91" s="320"/>
      <c r="T91" s="320"/>
      <c r="U91" s="320"/>
      <c r="V91" s="320"/>
      <c r="W91" s="320"/>
      <c r="X91" s="320"/>
      <c r="Y91" s="320"/>
      <c r="Z91" s="320"/>
      <c r="AA91" s="320"/>
      <c r="AB91" s="320"/>
      <c r="AC91" s="320"/>
      <c r="AD91" s="320"/>
      <c r="AE91" s="320"/>
      <c r="AF91" s="320"/>
      <c r="AG91" s="320"/>
      <c r="AH91" s="320"/>
      <c r="AI91" s="320"/>
      <c r="AJ91" s="320"/>
      <c r="AK91" s="320"/>
      <c r="AL91" s="320"/>
      <c r="AM91" s="320"/>
      <c r="AN91" s="320"/>
    </row>
    <row r="92" s="11" customFormat="1" customHeight="1" spans="1:40">
      <c r="A92" s="127"/>
      <c r="B92" s="47" t="s">
        <v>362</v>
      </c>
      <c r="C92" s="57" t="s">
        <v>357</v>
      </c>
      <c r="D92" s="55" t="s">
        <v>357</v>
      </c>
      <c r="E92" s="57" t="s">
        <v>256</v>
      </c>
      <c r="F92" s="57" t="s">
        <v>256</v>
      </c>
      <c r="G92" s="247"/>
      <c r="H92" s="57"/>
      <c r="I92" s="57"/>
      <c r="J92" s="57"/>
      <c r="K92" s="320"/>
      <c r="L92" s="320"/>
      <c r="M92" s="320"/>
      <c r="N92" s="320"/>
      <c r="O92" s="320"/>
      <c r="P92" s="320"/>
      <c r="Q92" s="320"/>
      <c r="R92" s="320"/>
      <c r="S92" s="320"/>
      <c r="T92" s="320"/>
      <c r="U92" s="320"/>
      <c r="V92" s="320"/>
      <c r="W92" s="320"/>
      <c r="X92" s="320"/>
      <c r="Y92" s="320"/>
      <c r="Z92" s="320"/>
      <c r="AA92" s="320"/>
      <c r="AB92" s="320"/>
      <c r="AC92" s="320"/>
      <c r="AD92" s="320"/>
      <c r="AE92" s="320"/>
      <c r="AF92" s="320"/>
      <c r="AG92" s="320"/>
      <c r="AH92" s="320"/>
      <c r="AI92" s="320"/>
      <c r="AJ92" s="320"/>
      <c r="AK92" s="320"/>
      <c r="AL92" s="320"/>
      <c r="AM92" s="320"/>
      <c r="AN92" s="320"/>
    </row>
    <row r="93" s="11" customFormat="1" customHeight="1" spans="1:40">
      <c r="A93" s="348">
        <v>16</v>
      </c>
      <c r="B93" s="57" t="s">
        <v>363</v>
      </c>
      <c r="C93" s="57" t="s">
        <v>364</v>
      </c>
      <c r="D93" s="55" t="s">
        <v>364</v>
      </c>
      <c r="E93" s="57" t="s">
        <v>295</v>
      </c>
      <c r="F93" s="57" t="s">
        <v>295</v>
      </c>
      <c r="G93" s="247"/>
      <c r="H93" s="248"/>
      <c r="I93" s="248"/>
      <c r="J93" s="248"/>
      <c r="K93" s="405"/>
      <c r="L93" s="405"/>
      <c r="M93" s="405"/>
      <c r="N93" s="405"/>
      <c r="O93" s="405"/>
      <c r="P93" s="405"/>
      <c r="Q93" s="405"/>
      <c r="R93" s="405"/>
      <c r="S93" s="405"/>
      <c r="T93" s="405"/>
      <c r="U93" s="405"/>
      <c r="V93" s="405"/>
      <c r="W93" s="405"/>
      <c r="X93" s="405"/>
      <c r="Y93" s="405"/>
      <c r="Z93" s="405"/>
      <c r="AA93" s="405"/>
      <c r="AB93" s="405"/>
      <c r="AC93" s="405"/>
      <c r="AD93" s="405"/>
      <c r="AE93" s="405"/>
      <c r="AF93" s="405"/>
      <c r="AG93" s="405"/>
      <c r="AH93" s="405"/>
      <c r="AI93" s="405"/>
      <c r="AJ93" s="405"/>
      <c r="AK93" s="405"/>
      <c r="AL93" s="405"/>
      <c r="AM93" s="405"/>
      <c r="AN93" s="405"/>
    </row>
    <row r="94" s="11" customFormat="1" customHeight="1" spans="1:40">
      <c r="A94" s="127"/>
      <c r="B94" s="57" t="s">
        <v>365</v>
      </c>
      <c r="C94" s="57" t="s">
        <v>364</v>
      </c>
      <c r="D94" s="55" t="s">
        <v>364</v>
      </c>
      <c r="E94" s="57" t="s">
        <v>256</v>
      </c>
      <c r="F94" s="57" t="s">
        <v>256</v>
      </c>
      <c r="G94" s="247"/>
      <c r="H94" s="57"/>
      <c r="I94" s="57"/>
      <c r="J94" s="57"/>
      <c r="K94" s="405"/>
      <c r="L94" s="405"/>
      <c r="M94" s="405"/>
      <c r="N94" s="405"/>
      <c r="O94" s="405"/>
      <c r="P94" s="405"/>
      <c r="Q94" s="405"/>
      <c r="R94" s="405"/>
      <c r="S94" s="405"/>
      <c r="T94" s="405"/>
      <c r="U94" s="405"/>
      <c r="V94" s="405"/>
      <c r="W94" s="405"/>
      <c r="X94" s="405"/>
      <c r="Y94" s="405"/>
      <c r="Z94" s="405"/>
      <c r="AA94" s="405"/>
      <c r="AB94" s="405"/>
      <c r="AC94" s="405"/>
      <c r="AD94" s="405"/>
      <c r="AE94" s="405"/>
      <c r="AF94" s="405"/>
      <c r="AG94" s="405"/>
      <c r="AH94" s="405"/>
      <c r="AI94" s="405"/>
      <c r="AJ94" s="405"/>
      <c r="AK94" s="405"/>
      <c r="AL94" s="405"/>
      <c r="AM94" s="405"/>
      <c r="AN94" s="405"/>
    </row>
    <row r="95" s="11" customFormat="1" customHeight="1" spans="1:40">
      <c r="A95" s="127"/>
      <c r="B95" s="57" t="s">
        <v>366</v>
      </c>
      <c r="C95" s="57" t="s">
        <v>364</v>
      </c>
      <c r="D95" s="55" t="s">
        <v>364</v>
      </c>
      <c r="E95" s="57" t="s">
        <v>256</v>
      </c>
      <c r="F95" s="57" t="s">
        <v>256</v>
      </c>
      <c r="G95" s="247"/>
      <c r="H95" s="57"/>
      <c r="I95" s="57"/>
      <c r="J95" s="57"/>
      <c r="K95" s="405"/>
      <c r="L95" s="405"/>
      <c r="M95" s="405"/>
      <c r="N95" s="405"/>
      <c r="O95" s="405"/>
      <c r="P95" s="405"/>
      <c r="Q95" s="405"/>
      <c r="R95" s="405"/>
      <c r="S95" s="405"/>
      <c r="T95" s="405"/>
      <c r="U95" s="405"/>
      <c r="V95" s="405"/>
      <c r="W95" s="405"/>
      <c r="X95" s="405"/>
      <c r="Y95" s="405"/>
      <c r="Z95" s="405"/>
      <c r="AA95" s="405"/>
      <c r="AB95" s="405"/>
      <c r="AC95" s="405"/>
      <c r="AD95" s="405"/>
      <c r="AE95" s="405"/>
      <c r="AF95" s="405"/>
      <c r="AG95" s="405"/>
      <c r="AH95" s="405"/>
      <c r="AI95" s="405"/>
      <c r="AJ95" s="405"/>
      <c r="AK95" s="405"/>
      <c r="AL95" s="405"/>
      <c r="AM95" s="405"/>
      <c r="AN95" s="405"/>
    </row>
    <row r="96" s="11" customFormat="1" customHeight="1" spans="1:40">
      <c r="A96" s="348">
        <v>17</v>
      </c>
      <c r="B96" s="47" t="s">
        <v>367</v>
      </c>
      <c r="C96" s="57" t="s">
        <v>368</v>
      </c>
      <c r="D96" s="55" t="s">
        <v>368</v>
      </c>
      <c r="E96" s="57" t="s">
        <v>295</v>
      </c>
      <c r="F96" s="57" t="s">
        <v>295</v>
      </c>
      <c r="G96" s="247"/>
      <c r="H96" s="57"/>
      <c r="I96" s="57"/>
      <c r="J96" s="57"/>
      <c r="K96" s="405"/>
      <c r="L96" s="405"/>
      <c r="M96" s="405"/>
      <c r="N96" s="405"/>
      <c r="O96" s="405"/>
      <c r="P96" s="405"/>
      <c r="Q96" s="405"/>
      <c r="R96" s="405"/>
      <c r="S96" s="405"/>
      <c r="T96" s="405"/>
      <c r="U96" s="405"/>
      <c r="V96" s="405"/>
      <c r="W96" s="405"/>
      <c r="X96" s="405"/>
      <c r="Y96" s="405"/>
      <c r="Z96" s="405"/>
      <c r="AA96" s="405"/>
      <c r="AB96" s="405"/>
      <c r="AC96" s="405"/>
      <c r="AD96" s="405"/>
      <c r="AE96" s="405"/>
      <c r="AF96" s="405"/>
      <c r="AG96" s="405"/>
      <c r="AH96" s="405"/>
      <c r="AI96" s="405"/>
      <c r="AJ96" s="405"/>
      <c r="AK96" s="405"/>
      <c r="AL96" s="405"/>
      <c r="AM96" s="405"/>
      <c r="AN96" s="405"/>
    </row>
    <row r="97" s="11" customFormat="1" customHeight="1" spans="1:40">
      <c r="A97" s="145"/>
      <c r="B97" s="47" t="s">
        <v>369</v>
      </c>
      <c r="C97" s="57" t="s">
        <v>368</v>
      </c>
      <c r="D97" s="55" t="s">
        <v>368</v>
      </c>
      <c r="E97" s="57" t="s">
        <v>295</v>
      </c>
      <c r="F97" s="57" t="s">
        <v>295</v>
      </c>
      <c r="G97" s="247"/>
      <c r="H97" s="57"/>
      <c r="I97" s="57"/>
      <c r="J97" s="57"/>
      <c r="K97" s="405"/>
      <c r="L97" s="405"/>
      <c r="M97" s="405"/>
      <c r="N97" s="405"/>
      <c r="O97" s="405"/>
      <c r="P97" s="405"/>
      <c r="Q97" s="405"/>
      <c r="R97" s="405"/>
      <c r="S97" s="405"/>
      <c r="T97" s="405"/>
      <c r="U97" s="405"/>
      <c r="V97" s="405"/>
      <c r="W97" s="405"/>
      <c r="X97" s="405"/>
      <c r="Y97" s="405"/>
      <c r="Z97" s="405"/>
      <c r="AA97" s="405"/>
      <c r="AB97" s="405"/>
      <c r="AC97" s="405"/>
      <c r="AD97" s="405"/>
      <c r="AE97" s="405"/>
      <c r="AF97" s="405"/>
      <c r="AG97" s="405"/>
      <c r="AH97" s="405"/>
      <c r="AI97" s="405"/>
      <c r="AJ97" s="405"/>
      <c r="AK97" s="405"/>
      <c r="AL97" s="405"/>
      <c r="AM97" s="405"/>
      <c r="AN97" s="405"/>
    </row>
    <row r="98" s="11" customFormat="1" customHeight="1" spans="1:40">
      <c r="A98" s="145"/>
      <c r="B98" s="47" t="s">
        <v>370</v>
      </c>
      <c r="C98" s="57" t="s">
        <v>368</v>
      </c>
      <c r="D98" s="55" t="s">
        <v>368</v>
      </c>
      <c r="E98" s="57" t="s">
        <v>256</v>
      </c>
      <c r="F98" s="57" t="s">
        <v>256</v>
      </c>
      <c r="G98" s="247"/>
      <c r="H98" s="57"/>
      <c r="I98" s="57"/>
      <c r="J98" s="57"/>
      <c r="K98" s="405"/>
      <c r="L98" s="405"/>
      <c r="M98" s="405"/>
      <c r="N98" s="405"/>
      <c r="O98" s="405"/>
      <c r="P98" s="405"/>
      <c r="Q98" s="405"/>
      <c r="R98" s="405"/>
      <c r="S98" s="405"/>
      <c r="T98" s="405"/>
      <c r="U98" s="405"/>
      <c r="V98" s="405"/>
      <c r="W98" s="405"/>
      <c r="X98" s="405"/>
      <c r="Y98" s="405"/>
      <c r="Z98" s="405"/>
      <c r="AA98" s="405"/>
      <c r="AB98" s="405"/>
      <c r="AC98" s="405"/>
      <c r="AD98" s="405"/>
      <c r="AE98" s="405"/>
      <c r="AF98" s="405"/>
      <c r="AG98" s="405"/>
      <c r="AH98" s="405"/>
      <c r="AI98" s="405"/>
      <c r="AJ98" s="405"/>
      <c r="AK98" s="405"/>
      <c r="AL98" s="405"/>
      <c r="AM98" s="405"/>
      <c r="AN98" s="405"/>
    </row>
    <row r="99" customHeight="1" spans="1:10">
      <c r="A99" s="145"/>
      <c r="B99" s="47" t="s">
        <v>371</v>
      </c>
      <c r="C99" s="57" t="s">
        <v>368</v>
      </c>
      <c r="D99" s="55" t="s">
        <v>368</v>
      </c>
      <c r="E99" s="57" t="s">
        <v>295</v>
      </c>
      <c r="F99" s="57" t="s">
        <v>295</v>
      </c>
      <c r="G99" s="291"/>
      <c r="H99" s="412"/>
      <c r="I99" s="412"/>
      <c r="J99" s="413"/>
    </row>
    <row r="100" customHeight="1" spans="10:10">
      <c r="J100" s="414"/>
    </row>
    <row r="101" customHeight="1" spans="10:10">
      <c r="J101" s="414"/>
    </row>
    <row r="102" customHeight="1" spans="10:10">
      <c r="J102" s="414"/>
    </row>
    <row r="103" customHeight="1" spans="10:10">
      <c r="J103" s="414"/>
    </row>
    <row r="104" customHeight="1" spans="10:10">
      <c r="J104" s="414"/>
    </row>
    <row r="105" customHeight="1" spans="10:10">
      <c r="J105" s="414"/>
    </row>
    <row r="106" customHeight="1" spans="10:10">
      <c r="J106" s="414"/>
    </row>
    <row r="107" customHeight="1" spans="10:10">
      <c r="J107" s="414"/>
    </row>
    <row r="108" customHeight="1" spans="10:10">
      <c r="J108" s="414"/>
    </row>
    <row r="109" customHeight="1" spans="10:10">
      <c r="J109" s="414"/>
    </row>
    <row r="110" customHeight="1" spans="10:10">
      <c r="J110" s="414"/>
    </row>
    <row r="111" customHeight="1" spans="10:10">
      <c r="J111" s="414"/>
    </row>
    <row r="112" customHeight="1" spans="10:10">
      <c r="J112" s="414"/>
    </row>
    <row r="113" customHeight="1" spans="10:10">
      <c r="J113" s="414"/>
    </row>
    <row r="114" customHeight="1" spans="10:10">
      <c r="J114" s="414"/>
    </row>
    <row r="115" customHeight="1" spans="10:10">
      <c r="J115" s="414"/>
    </row>
    <row r="116" customHeight="1" spans="10:10">
      <c r="J116" s="414"/>
    </row>
    <row r="117" customHeight="1" spans="10:10">
      <c r="J117" s="414"/>
    </row>
    <row r="118" customHeight="1" spans="10:10">
      <c r="J118" s="414"/>
    </row>
    <row r="119" customHeight="1" spans="10:10">
      <c r="J119" s="414"/>
    </row>
    <row r="120" customHeight="1" spans="7:10">
      <c r="G120" s="267"/>
      <c r="H120" s="267"/>
      <c r="I120" s="267"/>
      <c r="J120" s="267"/>
    </row>
    <row r="121" customHeight="1" spans="7:10">
      <c r="G121" s="267"/>
      <c r="H121" s="267"/>
      <c r="I121" s="267"/>
      <c r="J121" s="267"/>
    </row>
    <row r="122" customHeight="1" spans="7:10">
      <c r="G122" s="267"/>
      <c r="H122" s="267"/>
      <c r="I122" s="267"/>
      <c r="J122" s="267"/>
    </row>
    <row r="123" customHeight="1" spans="7:10">
      <c r="G123" s="267"/>
      <c r="H123" s="267"/>
      <c r="I123" s="267"/>
      <c r="J123" s="267"/>
    </row>
    <row r="124" customHeight="1" spans="7:10">
      <c r="G124" s="267"/>
      <c r="H124" s="267"/>
      <c r="I124" s="267"/>
      <c r="J124" s="267"/>
    </row>
    <row r="125" customHeight="1" spans="7:10">
      <c r="G125" s="267"/>
      <c r="H125" s="267"/>
      <c r="I125" s="267"/>
      <c r="J125" s="267"/>
    </row>
    <row r="126" customHeight="1" spans="7:10">
      <c r="G126" s="267"/>
      <c r="H126" s="267"/>
      <c r="I126" s="267"/>
      <c r="J126" s="267"/>
    </row>
    <row r="127" customHeight="1" spans="7:10">
      <c r="G127" s="267"/>
      <c r="H127" s="267"/>
      <c r="I127" s="267"/>
      <c r="J127" s="267"/>
    </row>
    <row r="128" customHeight="1" spans="7:10">
      <c r="G128" s="267"/>
      <c r="H128" s="267"/>
      <c r="I128" s="267"/>
      <c r="J128" s="267"/>
    </row>
    <row r="129" customHeight="1" spans="7:10">
      <c r="G129" s="267"/>
      <c r="H129" s="267"/>
      <c r="I129" s="267"/>
      <c r="J129" s="267"/>
    </row>
    <row r="130" customHeight="1" spans="7:10">
      <c r="G130" s="267"/>
      <c r="H130" s="267"/>
      <c r="I130" s="267"/>
      <c r="J130" s="267"/>
    </row>
    <row r="131" customHeight="1" spans="7:10">
      <c r="G131" s="267"/>
      <c r="H131" s="267"/>
      <c r="I131" s="267"/>
      <c r="J131" s="267"/>
    </row>
    <row r="132" customHeight="1" spans="7:10">
      <c r="G132" s="267"/>
      <c r="H132" s="267"/>
      <c r="I132" s="267"/>
      <c r="J132" s="267"/>
    </row>
    <row r="133" customHeight="1" spans="7:10">
      <c r="G133" s="267"/>
      <c r="H133" s="267"/>
      <c r="I133" s="267"/>
      <c r="J133" s="267"/>
    </row>
    <row r="134" customHeight="1" spans="7:10">
      <c r="G134" s="267"/>
      <c r="H134" s="267"/>
      <c r="I134" s="267"/>
      <c r="J134" s="267"/>
    </row>
    <row r="135" customHeight="1" spans="7:10">
      <c r="G135" s="267"/>
      <c r="H135" s="267"/>
      <c r="I135" s="267"/>
      <c r="J135" s="267"/>
    </row>
    <row r="136" customHeight="1" spans="7:10">
      <c r="G136" s="267"/>
      <c r="H136" s="267"/>
      <c r="I136" s="267"/>
      <c r="J136" s="267"/>
    </row>
    <row r="137" customHeight="1" spans="7:10">
      <c r="G137" s="267"/>
      <c r="H137" s="267"/>
      <c r="I137" s="267"/>
      <c r="J137" s="267"/>
    </row>
    <row r="138" customHeight="1" spans="7:10">
      <c r="G138" s="267"/>
      <c r="H138" s="267"/>
      <c r="I138" s="267"/>
      <c r="J138" s="267"/>
    </row>
    <row r="139" customHeight="1" spans="7:10">
      <c r="G139" s="267"/>
      <c r="H139" s="267"/>
      <c r="I139" s="267"/>
      <c r="J139" s="267"/>
    </row>
    <row r="140" customHeight="1" spans="7:10">
      <c r="G140" s="267"/>
      <c r="H140" s="267"/>
      <c r="I140" s="267"/>
      <c r="J140" s="267"/>
    </row>
    <row r="141" customHeight="1" spans="7:10">
      <c r="G141" s="267"/>
      <c r="H141" s="267"/>
      <c r="I141" s="267"/>
      <c r="J141" s="267"/>
    </row>
    <row r="142" customHeight="1" spans="7:10">
      <c r="G142" s="267"/>
      <c r="H142" s="267"/>
      <c r="I142" s="267"/>
      <c r="J142" s="267"/>
    </row>
  </sheetData>
  <mergeCells count="16">
    <mergeCell ref="A2:A18"/>
    <mergeCell ref="A19:A38"/>
    <mergeCell ref="A39:A45"/>
    <mergeCell ref="A46:A54"/>
    <mergeCell ref="A55:A57"/>
    <mergeCell ref="A58:A60"/>
    <mergeCell ref="A61:A62"/>
    <mergeCell ref="A63:A64"/>
    <mergeCell ref="A65:A67"/>
    <mergeCell ref="A68:A71"/>
    <mergeCell ref="A72:A78"/>
    <mergeCell ref="A79:A81"/>
    <mergeCell ref="A82:A85"/>
    <mergeCell ref="A86:A92"/>
    <mergeCell ref="A93:A95"/>
    <mergeCell ref="A96:A9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债券用例库"/>
  <dimension ref="A1:AJ1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8" customHeight="1"/>
  <cols>
    <col min="1" max="1" width="10.9259259259259" style="14" customWidth="1"/>
    <col min="2" max="2" width="11.8703703703704" style="14" customWidth="1"/>
    <col min="3" max="3" width="19.2777777777778" style="14" hidden="1" customWidth="1"/>
    <col min="4" max="4" width="14.0277777777778" style="14" customWidth="1"/>
    <col min="5" max="5" width="19.1481481481481" style="14" customWidth="1"/>
    <col min="6" max="6" width="32.5" style="14" customWidth="1"/>
    <col min="7" max="7" width="38.5740740740741" style="338" customWidth="1"/>
    <col min="8" max="8" width="22.7962962962963" style="338" customWidth="1"/>
    <col min="9" max="9" width="17.6759259259259" style="14" customWidth="1"/>
    <col min="10" max="10" width="14.5740740740741" style="14" customWidth="1"/>
    <col min="11" max="11" width="24.2777777777778" style="14" customWidth="1"/>
    <col min="12" max="12" width="15.7777777777778" style="339" customWidth="1"/>
    <col min="13" max="13" width="23.4722222222222" style="14" customWidth="1"/>
    <col min="14" max="14" width="40.0648148148148" style="14" customWidth="1"/>
    <col min="15" max="15" width="19.1481481481481" style="14" customWidth="1"/>
    <col min="16" max="16" width="42.3518518518519" style="338" customWidth="1"/>
    <col min="17" max="17" width="15.1111111111111" style="14" customWidth="1"/>
    <col min="18" max="18" width="19.4259259259259" style="14" customWidth="1"/>
    <col min="19" max="19" width="18.212962962963" style="14" customWidth="1"/>
    <col min="20" max="20" width="18.8981481481481" style="14" customWidth="1"/>
    <col min="21" max="22" width="14.9722222222222" style="14" customWidth="1"/>
    <col min="23" max="23" width="17.2777777777778" style="14" customWidth="1"/>
    <col min="24" max="24" width="17.8148148148148" style="14" customWidth="1"/>
    <col min="25" max="25" width="18.3518518518519" style="119" customWidth="1"/>
    <col min="26" max="26" width="17.5277777777778" style="119" customWidth="1"/>
    <col min="27" max="27" width="19.1481481481481" style="119" customWidth="1"/>
    <col min="28" max="28" width="27.7962962962963" style="100" customWidth="1"/>
    <col min="29" max="33" width="13.6759259259259" style="119" customWidth="1"/>
    <col min="34" max="36" width="10.712962962963" customWidth="1"/>
  </cols>
  <sheetData>
    <row r="1" s="335" customFormat="1" ht="44.25" customHeight="1" spans="1:36">
      <c r="A1" s="20" t="s">
        <v>372</v>
      </c>
      <c r="B1" s="21" t="s">
        <v>373</v>
      </c>
      <c r="C1" s="22" t="s">
        <v>177</v>
      </c>
      <c r="D1" s="340" t="s">
        <v>0</v>
      </c>
      <c r="E1" s="20" t="s">
        <v>1</v>
      </c>
      <c r="F1" s="20" t="s">
        <v>2</v>
      </c>
      <c r="G1" s="20" t="s">
        <v>176</v>
      </c>
      <c r="H1" s="20" t="s">
        <v>3</v>
      </c>
      <c r="I1" s="355" t="s">
        <v>374</v>
      </c>
      <c r="J1" s="355" t="s">
        <v>375</v>
      </c>
      <c r="K1" s="302" t="s">
        <v>147</v>
      </c>
      <c r="L1" s="356" t="s">
        <v>185</v>
      </c>
      <c r="M1" s="340" t="s">
        <v>186</v>
      </c>
      <c r="N1" s="340" t="s">
        <v>187</v>
      </c>
      <c r="O1" s="340" t="s">
        <v>188</v>
      </c>
      <c r="P1" s="340" t="s">
        <v>189</v>
      </c>
      <c r="Q1" s="340" t="s">
        <v>190</v>
      </c>
      <c r="R1" s="302" t="s">
        <v>191</v>
      </c>
      <c r="S1" s="340" t="s">
        <v>198</v>
      </c>
      <c r="T1" s="22" t="s">
        <v>376</v>
      </c>
      <c r="U1" s="340" t="s">
        <v>377</v>
      </c>
      <c r="V1" s="20" t="s">
        <v>378</v>
      </c>
      <c r="W1" s="340" t="s">
        <v>379</v>
      </c>
      <c r="X1" s="340" t="s">
        <v>380</v>
      </c>
      <c r="Y1" s="340" t="s">
        <v>205</v>
      </c>
      <c r="Z1" s="340" t="s">
        <v>206</v>
      </c>
      <c r="AA1" s="340" t="s">
        <v>207</v>
      </c>
      <c r="AB1" s="340" t="s">
        <v>208</v>
      </c>
      <c r="AC1" s="22" t="s">
        <v>209</v>
      </c>
      <c r="AD1" s="22" t="s">
        <v>210</v>
      </c>
      <c r="AE1" s="370" t="s">
        <v>381</v>
      </c>
      <c r="AF1" s="371" t="s">
        <v>382</v>
      </c>
      <c r="AG1" s="371" t="s">
        <v>383</v>
      </c>
      <c r="AH1" s="371" t="s">
        <v>384</v>
      </c>
      <c r="AI1" s="371" t="s">
        <v>385</v>
      </c>
      <c r="AJ1" s="371" t="s">
        <v>386</v>
      </c>
    </row>
    <row r="2" ht="48" customHeight="1" spans="1:36">
      <c r="A2" s="26" t="s">
        <v>387</v>
      </c>
      <c r="B2" s="26">
        <v>1</v>
      </c>
      <c r="C2" s="26" t="s">
        <v>388</v>
      </c>
      <c r="D2" s="341" t="s">
        <v>254</v>
      </c>
      <c r="E2" s="342" t="s">
        <v>161</v>
      </c>
      <c r="F2" s="343" t="s">
        <v>389</v>
      </c>
      <c r="G2" s="344" t="s">
        <v>390</v>
      </c>
      <c r="H2" s="342" t="s">
        <v>391</v>
      </c>
      <c r="I2" s="140" t="s">
        <v>392</v>
      </c>
      <c r="J2" s="140" t="s">
        <v>393</v>
      </c>
      <c r="K2" s="26" t="s">
        <v>394</v>
      </c>
      <c r="L2" s="339">
        <v>45870</v>
      </c>
      <c r="M2" s="343" t="s">
        <v>395</v>
      </c>
      <c r="N2" s="338" t="s">
        <v>396</v>
      </c>
      <c r="O2" s="14" t="s">
        <v>397</v>
      </c>
      <c r="P2" s="338" t="s">
        <v>398</v>
      </c>
      <c r="Q2" s="14">
        <v>99</v>
      </c>
      <c r="R2" s="14">
        <v>1000</v>
      </c>
      <c r="S2" s="14" t="s">
        <v>218</v>
      </c>
      <c r="T2" s="26">
        <v>100.0642</v>
      </c>
      <c r="AB2" s="26" t="s">
        <v>394</v>
      </c>
      <c r="AC2" s="14" t="s">
        <v>399</v>
      </c>
      <c r="AD2" s="372" t="s">
        <v>222</v>
      </c>
      <c r="AE2" s="372"/>
      <c r="AF2" s="153"/>
      <c r="AG2" s="153"/>
      <c r="AH2" s="153"/>
      <c r="AI2" s="153"/>
      <c r="AJ2" s="153"/>
    </row>
    <row r="3" ht="51.75" customHeight="1" spans="1:36">
      <c r="A3" s="26" t="s">
        <v>387</v>
      </c>
      <c r="B3" s="26">
        <v>2</v>
      </c>
      <c r="C3" s="26" t="s">
        <v>400</v>
      </c>
      <c r="D3" s="341" t="s">
        <v>257</v>
      </c>
      <c r="E3" s="342" t="s">
        <v>161</v>
      </c>
      <c r="F3" s="343" t="s">
        <v>401</v>
      </c>
      <c r="G3" s="344" t="s">
        <v>390</v>
      </c>
      <c r="H3" s="342" t="s">
        <v>402</v>
      </c>
      <c r="I3" s="140" t="s">
        <v>403</v>
      </c>
      <c r="J3" s="140" t="s">
        <v>404</v>
      </c>
      <c r="K3" s="26" t="s">
        <v>405</v>
      </c>
      <c r="L3" s="339">
        <v>45873</v>
      </c>
      <c r="M3" s="26" t="s">
        <v>395</v>
      </c>
      <c r="N3" s="338" t="s">
        <v>396</v>
      </c>
      <c r="O3" s="14" t="s">
        <v>406</v>
      </c>
      <c r="P3" s="338" t="s">
        <v>407</v>
      </c>
      <c r="Q3" s="14">
        <v>100</v>
      </c>
      <c r="R3" s="14">
        <v>1100</v>
      </c>
      <c r="S3" s="14" t="s">
        <v>218</v>
      </c>
      <c r="T3" s="26">
        <v>101.1052</v>
      </c>
      <c r="U3" s="358">
        <v>100</v>
      </c>
      <c r="W3" s="14">
        <v>7</v>
      </c>
      <c r="X3" s="14">
        <v>1.21</v>
      </c>
      <c r="AB3" s="26" t="s">
        <v>405</v>
      </c>
      <c r="AC3" s="14" t="s">
        <v>399</v>
      </c>
      <c r="AD3" s="372" t="s">
        <v>222</v>
      </c>
      <c r="AE3" s="372"/>
      <c r="AF3" s="153"/>
      <c r="AG3" s="153"/>
      <c r="AH3" s="153"/>
      <c r="AI3" s="153"/>
      <c r="AJ3" s="153"/>
    </row>
    <row r="4" ht="51.75" customHeight="1" spans="1:36">
      <c r="A4" s="26" t="s">
        <v>387</v>
      </c>
      <c r="B4" s="26">
        <v>3</v>
      </c>
      <c r="C4" s="26" t="s">
        <v>408</v>
      </c>
      <c r="D4" s="341" t="s">
        <v>258</v>
      </c>
      <c r="E4" s="342" t="s">
        <v>161</v>
      </c>
      <c r="F4" s="343" t="s">
        <v>409</v>
      </c>
      <c r="G4" s="344" t="s">
        <v>390</v>
      </c>
      <c r="H4" s="342" t="s">
        <v>402</v>
      </c>
      <c r="I4" s="140" t="s">
        <v>392</v>
      </c>
      <c r="J4" s="140" t="s">
        <v>393</v>
      </c>
      <c r="K4" s="26" t="s">
        <v>394</v>
      </c>
      <c r="L4" s="339">
        <v>45873</v>
      </c>
      <c r="M4" s="343" t="s">
        <v>395</v>
      </c>
      <c r="N4" s="338" t="s">
        <v>396</v>
      </c>
      <c r="O4" s="14" t="s">
        <v>397</v>
      </c>
      <c r="P4" s="338" t="s">
        <v>398</v>
      </c>
      <c r="Q4" s="14">
        <v>101</v>
      </c>
      <c r="R4" s="14">
        <v>1000</v>
      </c>
      <c r="S4" s="14" t="s">
        <v>218</v>
      </c>
      <c r="T4" s="26">
        <v>102.1052</v>
      </c>
      <c r="Y4" s="14"/>
      <c r="Z4" s="14"/>
      <c r="AA4" s="14"/>
      <c r="AB4" s="26" t="s">
        <v>394</v>
      </c>
      <c r="AC4" s="14" t="s">
        <v>399</v>
      </c>
      <c r="AD4" s="372" t="s">
        <v>222</v>
      </c>
      <c r="AE4" s="372"/>
      <c r="AF4" s="166"/>
      <c r="AG4" s="166"/>
      <c r="AH4" s="166"/>
      <c r="AI4" s="166"/>
      <c r="AJ4" s="166"/>
    </row>
    <row r="5" ht="51.75" customHeight="1" spans="1:36">
      <c r="A5" s="26" t="s">
        <v>387</v>
      </c>
      <c r="B5" s="26">
        <v>4</v>
      </c>
      <c r="C5" s="26" t="s">
        <v>410</v>
      </c>
      <c r="D5" s="341" t="s">
        <v>259</v>
      </c>
      <c r="E5" s="342" t="s">
        <v>161</v>
      </c>
      <c r="F5" s="343" t="s">
        <v>401</v>
      </c>
      <c r="G5" s="344" t="s">
        <v>390</v>
      </c>
      <c r="H5" s="342" t="s">
        <v>411</v>
      </c>
      <c r="I5" s="140" t="s">
        <v>412</v>
      </c>
      <c r="J5" s="140" t="s">
        <v>393</v>
      </c>
      <c r="K5" s="26" t="s">
        <v>405</v>
      </c>
      <c r="L5" s="339">
        <v>45873</v>
      </c>
      <c r="M5" s="343" t="s">
        <v>413</v>
      </c>
      <c r="N5" s="338" t="s">
        <v>414</v>
      </c>
      <c r="O5" s="14" t="s">
        <v>397</v>
      </c>
      <c r="P5" s="338" t="s">
        <v>398</v>
      </c>
      <c r="Q5" s="14">
        <v>99</v>
      </c>
      <c r="R5" s="14">
        <v>1400</v>
      </c>
      <c r="S5" s="14" t="s">
        <v>218</v>
      </c>
      <c r="T5" s="26">
        <v>100.105</v>
      </c>
      <c r="AB5" s="26" t="s">
        <v>405</v>
      </c>
      <c r="AC5" s="14" t="s">
        <v>399</v>
      </c>
      <c r="AD5" s="372" t="s">
        <v>222</v>
      </c>
      <c r="AE5" s="372"/>
      <c r="AF5" s="166"/>
      <c r="AG5" s="166"/>
      <c r="AH5" s="166"/>
      <c r="AI5" s="166"/>
      <c r="AJ5" s="166"/>
    </row>
    <row r="6" s="3" customFormat="1" ht="51.75" customHeight="1" spans="1:36">
      <c r="A6" s="26" t="s">
        <v>387</v>
      </c>
      <c r="B6" s="26">
        <v>5</v>
      </c>
      <c r="C6" s="26" t="s">
        <v>415</v>
      </c>
      <c r="D6" s="341" t="s">
        <v>260</v>
      </c>
      <c r="E6" s="342" t="s">
        <v>161</v>
      </c>
      <c r="F6" s="343" t="s">
        <v>401</v>
      </c>
      <c r="G6" s="344" t="s">
        <v>390</v>
      </c>
      <c r="H6" s="342" t="s">
        <v>402</v>
      </c>
      <c r="I6" s="140" t="s">
        <v>416</v>
      </c>
      <c r="J6" s="140" t="s">
        <v>393</v>
      </c>
      <c r="K6" s="26" t="s">
        <v>394</v>
      </c>
      <c r="L6" s="339">
        <v>45873</v>
      </c>
      <c r="M6" s="200" t="s">
        <v>395</v>
      </c>
      <c r="N6" s="291" t="s">
        <v>396</v>
      </c>
      <c r="O6" s="225" t="s">
        <v>397</v>
      </c>
      <c r="P6" s="291" t="s">
        <v>398</v>
      </c>
      <c r="Q6" s="225">
        <v>100</v>
      </c>
      <c r="R6" s="225">
        <v>2000</v>
      </c>
      <c r="S6" s="225"/>
      <c r="T6" s="56">
        <v>101.1052</v>
      </c>
      <c r="U6" s="225"/>
      <c r="V6" s="225"/>
      <c r="W6" s="225"/>
      <c r="X6" s="225"/>
      <c r="Y6" s="228"/>
      <c r="Z6" s="228"/>
      <c r="AA6" s="228"/>
      <c r="AB6" s="26" t="s">
        <v>394</v>
      </c>
      <c r="AC6" s="14" t="s">
        <v>399</v>
      </c>
      <c r="AD6" s="373" t="s">
        <v>222</v>
      </c>
      <c r="AE6" s="373"/>
      <c r="AF6" s="166"/>
      <c r="AG6" s="166"/>
      <c r="AH6" s="166"/>
      <c r="AI6" s="166"/>
      <c r="AJ6" s="166"/>
    </row>
    <row r="7" ht="51.75" customHeight="1" spans="1:36">
      <c r="A7" s="26" t="s">
        <v>387</v>
      </c>
      <c r="B7" s="26">
        <v>6</v>
      </c>
      <c r="C7" s="26" t="s">
        <v>417</v>
      </c>
      <c r="D7" s="140" t="s">
        <v>261</v>
      </c>
      <c r="E7" s="342" t="s">
        <v>161</v>
      </c>
      <c r="F7" s="343" t="s">
        <v>418</v>
      </c>
      <c r="G7" s="344" t="s">
        <v>390</v>
      </c>
      <c r="H7" s="342" t="s">
        <v>419</v>
      </c>
      <c r="I7" s="140" t="s">
        <v>392</v>
      </c>
      <c r="J7" s="140" t="s">
        <v>393</v>
      </c>
      <c r="K7" s="26" t="s">
        <v>394</v>
      </c>
      <c r="L7" s="339">
        <v>45874</v>
      </c>
      <c r="M7" s="343" t="s">
        <v>395</v>
      </c>
      <c r="N7" s="338" t="s">
        <v>396</v>
      </c>
      <c r="O7" s="14" t="s">
        <v>397</v>
      </c>
      <c r="P7" s="338" t="s">
        <v>398</v>
      </c>
      <c r="Q7" s="14">
        <v>99</v>
      </c>
      <c r="R7" s="14">
        <v>1400</v>
      </c>
      <c r="S7" s="14" t="s">
        <v>218</v>
      </c>
      <c r="T7" s="26">
        <v>100.1188</v>
      </c>
      <c r="AB7" s="26" t="s">
        <v>394</v>
      </c>
      <c r="AC7" s="119" t="s">
        <v>399</v>
      </c>
      <c r="AD7" s="374" t="s">
        <v>222</v>
      </c>
      <c r="AE7" s="374"/>
      <c r="AH7" s="13"/>
      <c r="AI7" s="13"/>
      <c r="AJ7" s="13"/>
    </row>
    <row r="8" s="4" customFormat="1" ht="51.75" customHeight="1" spans="1:36">
      <c r="A8" s="26" t="s">
        <v>387</v>
      </c>
      <c r="B8" s="26">
        <v>7</v>
      </c>
      <c r="C8" s="26" t="s">
        <v>420</v>
      </c>
      <c r="D8" s="140" t="s">
        <v>262</v>
      </c>
      <c r="E8" s="342" t="s">
        <v>161</v>
      </c>
      <c r="F8" s="343" t="s">
        <v>418</v>
      </c>
      <c r="G8" s="344" t="s">
        <v>390</v>
      </c>
      <c r="H8" s="342" t="s">
        <v>419</v>
      </c>
      <c r="I8" s="140" t="s">
        <v>416</v>
      </c>
      <c r="J8" s="140" t="s">
        <v>393</v>
      </c>
      <c r="K8" s="26" t="s">
        <v>394</v>
      </c>
      <c r="L8" s="339">
        <v>45874</v>
      </c>
      <c r="M8" s="343" t="s">
        <v>395</v>
      </c>
      <c r="N8" s="357" t="s">
        <v>396</v>
      </c>
      <c r="O8" s="358" t="s">
        <v>397</v>
      </c>
      <c r="P8" s="357" t="s">
        <v>398</v>
      </c>
      <c r="Q8" s="358">
        <v>100</v>
      </c>
      <c r="R8" s="358">
        <v>1500</v>
      </c>
      <c r="S8" s="14"/>
      <c r="T8" s="26">
        <v>101.1188</v>
      </c>
      <c r="U8" s="358"/>
      <c r="V8" s="358"/>
      <c r="W8" s="358"/>
      <c r="X8" s="358"/>
      <c r="Y8" s="358"/>
      <c r="Z8" s="358"/>
      <c r="AA8" s="358"/>
      <c r="AB8" s="26" t="s">
        <v>394</v>
      </c>
      <c r="AC8" s="14" t="s">
        <v>399</v>
      </c>
      <c r="AD8" s="375" t="s">
        <v>222</v>
      </c>
      <c r="AE8" s="375"/>
      <c r="AF8" s="358"/>
      <c r="AG8" s="358"/>
      <c r="AH8" s="336"/>
      <c r="AI8" s="336"/>
      <c r="AJ8" s="336"/>
    </row>
    <row r="9" ht="51.75" customHeight="1" spans="1:36">
      <c r="A9" s="26" t="s">
        <v>421</v>
      </c>
      <c r="B9" s="26">
        <v>8</v>
      </c>
      <c r="C9" s="26" t="s">
        <v>422</v>
      </c>
      <c r="D9" s="140" t="s">
        <v>263</v>
      </c>
      <c r="E9" s="342" t="s">
        <v>161</v>
      </c>
      <c r="F9" s="343" t="s">
        <v>418</v>
      </c>
      <c r="G9" s="344" t="s">
        <v>390</v>
      </c>
      <c r="H9" s="342" t="s">
        <v>419</v>
      </c>
      <c r="I9" s="140" t="s">
        <v>403</v>
      </c>
      <c r="J9" s="140" t="s">
        <v>404</v>
      </c>
      <c r="K9" s="26" t="s">
        <v>405</v>
      </c>
      <c r="L9" s="339">
        <v>45874</v>
      </c>
      <c r="M9" s="26" t="s">
        <v>395</v>
      </c>
      <c r="N9" s="338" t="s">
        <v>396</v>
      </c>
      <c r="O9" s="14" t="s">
        <v>423</v>
      </c>
      <c r="P9" s="338" t="s">
        <v>424</v>
      </c>
      <c r="Q9" s="14">
        <v>101</v>
      </c>
      <c r="R9" s="14">
        <v>1200</v>
      </c>
      <c r="S9" s="14" t="s">
        <v>218</v>
      </c>
      <c r="T9" s="26">
        <v>102.1188</v>
      </c>
      <c r="W9" s="14">
        <v>7</v>
      </c>
      <c r="X9" s="14">
        <v>1.0512</v>
      </c>
      <c r="AB9" s="26" t="s">
        <v>405</v>
      </c>
      <c r="AC9" s="14" t="s">
        <v>399</v>
      </c>
      <c r="AD9" s="372" t="s">
        <v>222</v>
      </c>
      <c r="AE9" s="372"/>
      <c r="AF9" s="14"/>
      <c r="AG9" s="14"/>
      <c r="AH9" s="13"/>
      <c r="AI9" s="13"/>
      <c r="AJ9" s="13"/>
    </row>
    <row r="10" s="11" customFormat="1" ht="51.75" customHeight="1" spans="1:36">
      <c r="A10" s="56" t="s">
        <v>387</v>
      </c>
      <c r="B10" s="56">
        <v>9</v>
      </c>
      <c r="C10" s="56" t="s">
        <v>425</v>
      </c>
      <c r="D10" s="345" t="s">
        <v>264</v>
      </c>
      <c r="E10" s="346" t="s">
        <v>161</v>
      </c>
      <c r="F10" s="200" t="s">
        <v>426</v>
      </c>
      <c r="G10" s="347" t="s">
        <v>390</v>
      </c>
      <c r="H10" s="346" t="s">
        <v>427</v>
      </c>
      <c r="I10" s="345" t="s">
        <v>412</v>
      </c>
      <c r="J10" s="345" t="s">
        <v>393</v>
      </c>
      <c r="K10" s="56" t="s">
        <v>428</v>
      </c>
      <c r="L10" s="339">
        <v>45874</v>
      </c>
      <c r="M10" s="200" t="s">
        <v>413</v>
      </c>
      <c r="N10" s="291" t="s">
        <v>414</v>
      </c>
      <c r="O10" s="225" t="s">
        <v>397</v>
      </c>
      <c r="P10" s="291" t="s">
        <v>398</v>
      </c>
      <c r="Q10" s="225">
        <v>99</v>
      </c>
      <c r="R10" s="225">
        <v>1000</v>
      </c>
      <c r="S10" s="225" t="s">
        <v>218</v>
      </c>
      <c r="T10" s="56">
        <v>100.119</v>
      </c>
      <c r="U10" s="225"/>
      <c r="V10" s="225"/>
      <c r="W10" s="225"/>
      <c r="X10" s="225"/>
      <c r="Y10" s="228"/>
      <c r="Z10" s="228"/>
      <c r="AA10" s="228"/>
      <c r="AB10" s="56" t="s">
        <v>428</v>
      </c>
      <c r="AC10" s="228" t="s">
        <v>399</v>
      </c>
      <c r="AD10" s="376" t="s">
        <v>222</v>
      </c>
      <c r="AE10" s="376"/>
      <c r="AF10" s="228"/>
      <c r="AG10" s="228"/>
      <c r="AH10" s="10"/>
      <c r="AI10" s="10"/>
      <c r="AJ10" s="10"/>
    </row>
    <row r="11" ht="51.75" customHeight="1" spans="1:36">
      <c r="A11" s="26" t="s">
        <v>387</v>
      </c>
      <c r="B11" s="26">
        <v>10</v>
      </c>
      <c r="C11" s="26" t="s">
        <v>429</v>
      </c>
      <c r="D11" s="140" t="s">
        <v>265</v>
      </c>
      <c r="E11" s="342" t="s">
        <v>161</v>
      </c>
      <c r="F11" s="343" t="s">
        <v>418</v>
      </c>
      <c r="G11" s="344" t="s">
        <v>390</v>
      </c>
      <c r="H11" s="342" t="s">
        <v>427</v>
      </c>
      <c r="I11" s="140" t="s">
        <v>412</v>
      </c>
      <c r="J11" s="140" t="s">
        <v>393</v>
      </c>
      <c r="K11" s="26" t="s">
        <v>405</v>
      </c>
      <c r="L11" s="339">
        <v>45874</v>
      </c>
      <c r="M11" s="343" t="s">
        <v>413</v>
      </c>
      <c r="N11" s="338" t="s">
        <v>414</v>
      </c>
      <c r="O11" s="14" t="s">
        <v>397</v>
      </c>
      <c r="P11" s="338" t="s">
        <v>398</v>
      </c>
      <c r="Q11" s="14">
        <v>98</v>
      </c>
      <c r="R11" s="14">
        <v>1900</v>
      </c>
      <c r="S11" s="14" t="s">
        <v>218</v>
      </c>
      <c r="T11" s="26">
        <v>99.119</v>
      </c>
      <c r="AB11" s="26" t="s">
        <v>405</v>
      </c>
      <c r="AC11" s="14" t="s">
        <v>399</v>
      </c>
      <c r="AD11" s="372" t="s">
        <v>222</v>
      </c>
      <c r="AE11" s="372"/>
      <c r="AF11" s="14"/>
      <c r="AG11" s="14"/>
      <c r="AH11" s="13"/>
      <c r="AI11" s="13"/>
      <c r="AJ11" s="13"/>
    </row>
    <row r="12" s="4" customFormat="1" ht="51.75" customHeight="1" spans="1:36">
      <c r="A12" s="26" t="s">
        <v>387</v>
      </c>
      <c r="B12" s="26">
        <v>11</v>
      </c>
      <c r="C12" s="26" t="s">
        <v>430</v>
      </c>
      <c r="D12" s="140" t="s">
        <v>266</v>
      </c>
      <c r="E12" s="342" t="s">
        <v>161</v>
      </c>
      <c r="F12" s="343" t="s">
        <v>431</v>
      </c>
      <c r="G12" s="344" t="s">
        <v>390</v>
      </c>
      <c r="H12" s="342" t="s">
        <v>419</v>
      </c>
      <c r="I12" s="140" t="s">
        <v>392</v>
      </c>
      <c r="J12" s="140" t="s">
        <v>432</v>
      </c>
      <c r="K12" s="26" t="s">
        <v>394</v>
      </c>
      <c r="L12" s="339">
        <v>45874</v>
      </c>
      <c r="M12" s="343" t="s">
        <v>395</v>
      </c>
      <c r="N12" s="357" t="s">
        <v>396</v>
      </c>
      <c r="O12" s="358" t="s">
        <v>397</v>
      </c>
      <c r="P12" s="357" t="s">
        <v>398</v>
      </c>
      <c r="Q12" s="358">
        <v>102</v>
      </c>
      <c r="R12" s="358">
        <v>1200</v>
      </c>
      <c r="S12" s="14" t="s">
        <v>218</v>
      </c>
      <c r="T12" s="26">
        <v>103.1188</v>
      </c>
      <c r="U12" s="358"/>
      <c r="V12" s="358"/>
      <c r="W12" s="358"/>
      <c r="X12" s="358"/>
      <c r="Y12" s="358"/>
      <c r="Z12" s="358"/>
      <c r="AA12" s="358"/>
      <c r="AB12" s="26" t="s">
        <v>394</v>
      </c>
      <c r="AC12" s="14" t="s">
        <v>399</v>
      </c>
      <c r="AD12" s="375" t="s">
        <v>222</v>
      </c>
      <c r="AE12" s="375"/>
      <c r="AF12" s="358"/>
      <c r="AG12" s="358"/>
      <c r="AH12" s="336"/>
      <c r="AI12" s="336"/>
      <c r="AJ12" s="336"/>
    </row>
    <row r="13" s="4" customFormat="1" ht="51.75" customHeight="1" spans="1:36">
      <c r="A13" s="26" t="s">
        <v>387</v>
      </c>
      <c r="B13" s="26">
        <v>12</v>
      </c>
      <c r="C13" s="26" t="s">
        <v>433</v>
      </c>
      <c r="D13" s="140" t="s">
        <v>268</v>
      </c>
      <c r="E13" s="342" t="s">
        <v>161</v>
      </c>
      <c r="F13" s="343" t="s">
        <v>431</v>
      </c>
      <c r="G13" s="344" t="s">
        <v>390</v>
      </c>
      <c r="H13" s="342" t="s">
        <v>419</v>
      </c>
      <c r="I13" s="140" t="s">
        <v>416</v>
      </c>
      <c r="J13" s="140" t="s">
        <v>432</v>
      </c>
      <c r="K13" s="26" t="s">
        <v>394</v>
      </c>
      <c r="L13" s="339">
        <v>45874</v>
      </c>
      <c r="M13" s="343" t="s">
        <v>395</v>
      </c>
      <c r="N13" s="357" t="s">
        <v>396</v>
      </c>
      <c r="O13" s="358" t="s">
        <v>397</v>
      </c>
      <c r="P13" s="357" t="s">
        <v>398</v>
      </c>
      <c r="Q13" s="358">
        <v>104</v>
      </c>
      <c r="R13" s="358">
        <v>1800</v>
      </c>
      <c r="S13" s="14"/>
      <c r="T13" s="26">
        <v>105.1188</v>
      </c>
      <c r="U13" s="358"/>
      <c r="V13" s="358"/>
      <c r="W13" s="358"/>
      <c r="X13" s="358"/>
      <c r="Y13" s="358"/>
      <c r="Z13" s="358"/>
      <c r="AA13" s="358"/>
      <c r="AB13" s="26" t="s">
        <v>394</v>
      </c>
      <c r="AC13" s="14" t="s">
        <v>399</v>
      </c>
      <c r="AD13" s="375" t="s">
        <v>222</v>
      </c>
      <c r="AE13" s="375"/>
      <c r="AF13" s="358"/>
      <c r="AG13" s="358"/>
      <c r="AH13" s="336"/>
      <c r="AI13" s="336"/>
      <c r="AJ13" s="336"/>
    </row>
    <row r="14" ht="51.75" customHeight="1" spans="1:36">
      <c r="A14" s="26" t="s">
        <v>387</v>
      </c>
      <c r="B14" s="26">
        <v>13</v>
      </c>
      <c r="C14" s="26" t="s">
        <v>434</v>
      </c>
      <c r="D14" s="140" t="s">
        <v>269</v>
      </c>
      <c r="E14" s="342" t="s">
        <v>161</v>
      </c>
      <c r="F14" s="343" t="s">
        <v>431</v>
      </c>
      <c r="G14" s="344" t="s">
        <v>390</v>
      </c>
      <c r="H14" s="342" t="s">
        <v>427</v>
      </c>
      <c r="I14" s="140" t="s">
        <v>412</v>
      </c>
      <c r="J14" s="140" t="s">
        <v>432</v>
      </c>
      <c r="K14" s="26" t="s">
        <v>405</v>
      </c>
      <c r="L14" s="339">
        <v>45874</v>
      </c>
      <c r="M14" s="343" t="s">
        <v>413</v>
      </c>
      <c r="N14" s="338" t="s">
        <v>414</v>
      </c>
      <c r="O14" s="14" t="s">
        <v>397</v>
      </c>
      <c r="P14" s="338" t="s">
        <v>398</v>
      </c>
      <c r="Q14" s="14">
        <v>101</v>
      </c>
      <c r="R14" s="14">
        <v>1500</v>
      </c>
      <c r="S14" s="14" t="s">
        <v>218</v>
      </c>
      <c r="T14" s="26">
        <v>102.119</v>
      </c>
      <c r="AB14" s="26" t="s">
        <v>405</v>
      </c>
      <c r="AC14" s="14" t="s">
        <v>399</v>
      </c>
      <c r="AD14" s="372" t="s">
        <v>222</v>
      </c>
      <c r="AE14" s="372"/>
      <c r="AF14" s="14"/>
      <c r="AG14" s="14"/>
      <c r="AH14" s="13"/>
      <c r="AI14" s="13"/>
      <c r="AJ14" s="13"/>
    </row>
    <row r="15" s="4" customFormat="1" ht="51.75" customHeight="1" spans="1:36">
      <c r="A15" s="26" t="s">
        <v>387</v>
      </c>
      <c r="B15" s="26">
        <v>14</v>
      </c>
      <c r="C15" s="26" t="s">
        <v>435</v>
      </c>
      <c r="D15" s="140" t="s">
        <v>270</v>
      </c>
      <c r="E15" s="342" t="s">
        <v>161</v>
      </c>
      <c r="F15" s="343" t="s">
        <v>436</v>
      </c>
      <c r="G15" s="344" t="s">
        <v>390</v>
      </c>
      <c r="H15" s="342" t="s">
        <v>419</v>
      </c>
      <c r="I15" s="140" t="s">
        <v>392</v>
      </c>
      <c r="J15" s="140" t="s">
        <v>393</v>
      </c>
      <c r="K15" s="26" t="s">
        <v>394</v>
      </c>
      <c r="L15" s="339">
        <v>45874</v>
      </c>
      <c r="M15" s="343" t="s">
        <v>395</v>
      </c>
      <c r="N15" s="357" t="s">
        <v>396</v>
      </c>
      <c r="O15" s="358" t="s">
        <v>397</v>
      </c>
      <c r="P15" s="357" t="s">
        <v>398</v>
      </c>
      <c r="Q15" s="358">
        <v>98</v>
      </c>
      <c r="R15" s="358">
        <v>1600</v>
      </c>
      <c r="S15" s="14" t="s">
        <v>218</v>
      </c>
      <c r="T15" s="26">
        <v>99.1188</v>
      </c>
      <c r="U15" s="358"/>
      <c r="V15" s="358"/>
      <c r="W15" s="358"/>
      <c r="X15" s="358"/>
      <c r="Y15" s="358"/>
      <c r="Z15" s="358"/>
      <c r="AA15" s="358"/>
      <c r="AB15" s="26" t="s">
        <v>394</v>
      </c>
      <c r="AC15" s="14" t="s">
        <v>399</v>
      </c>
      <c r="AD15" s="375" t="s">
        <v>222</v>
      </c>
      <c r="AE15" s="375"/>
      <c r="AF15" s="358"/>
      <c r="AG15" s="358"/>
      <c r="AH15" s="336"/>
      <c r="AI15" s="336"/>
      <c r="AJ15" s="336"/>
    </row>
    <row r="16" s="4" customFormat="1" ht="51.75" customHeight="1" spans="1:36">
      <c r="A16" s="26" t="s">
        <v>387</v>
      </c>
      <c r="B16" s="26">
        <v>15</v>
      </c>
      <c r="C16" s="26" t="s">
        <v>437</v>
      </c>
      <c r="D16" s="140" t="s">
        <v>271</v>
      </c>
      <c r="E16" s="342" t="s">
        <v>161</v>
      </c>
      <c r="F16" s="343" t="s">
        <v>436</v>
      </c>
      <c r="G16" s="344" t="s">
        <v>390</v>
      </c>
      <c r="H16" s="342" t="s">
        <v>419</v>
      </c>
      <c r="I16" s="140" t="s">
        <v>416</v>
      </c>
      <c r="J16" s="140" t="s">
        <v>393</v>
      </c>
      <c r="K16" s="26" t="s">
        <v>394</v>
      </c>
      <c r="L16" s="339">
        <v>45874</v>
      </c>
      <c r="M16" s="343" t="s">
        <v>395</v>
      </c>
      <c r="N16" s="357" t="s">
        <v>396</v>
      </c>
      <c r="O16" s="358" t="s">
        <v>397</v>
      </c>
      <c r="P16" s="357" t="s">
        <v>398</v>
      </c>
      <c r="Q16" s="358">
        <v>101</v>
      </c>
      <c r="R16" s="358">
        <v>1700</v>
      </c>
      <c r="S16" s="14"/>
      <c r="T16" s="26">
        <v>102.1188</v>
      </c>
      <c r="U16" s="358"/>
      <c r="V16" s="358"/>
      <c r="W16" s="358"/>
      <c r="X16" s="358"/>
      <c r="Y16" s="358"/>
      <c r="Z16" s="358"/>
      <c r="AA16" s="358"/>
      <c r="AB16" s="26" t="s">
        <v>394</v>
      </c>
      <c r="AC16" s="14" t="s">
        <v>399</v>
      </c>
      <c r="AD16" s="375" t="s">
        <v>222</v>
      </c>
      <c r="AE16" s="375"/>
      <c r="AF16" s="358"/>
      <c r="AG16" s="358"/>
      <c r="AH16" s="336"/>
      <c r="AI16" s="336"/>
      <c r="AJ16" s="336"/>
    </row>
    <row r="17" ht="51.75" customHeight="1" spans="1:36">
      <c r="A17" s="26" t="s">
        <v>387</v>
      </c>
      <c r="B17" s="26">
        <v>16</v>
      </c>
      <c r="C17" s="26" t="s">
        <v>438</v>
      </c>
      <c r="D17" s="140" t="s">
        <v>272</v>
      </c>
      <c r="E17" s="342" t="s">
        <v>161</v>
      </c>
      <c r="F17" s="343" t="s">
        <v>436</v>
      </c>
      <c r="G17" s="344" t="s">
        <v>390</v>
      </c>
      <c r="H17" s="342" t="s">
        <v>419</v>
      </c>
      <c r="I17" s="140" t="s">
        <v>403</v>
      </c>
      <c r="J17" s="140" t="s">
        <v>404</v>
      </c>
      <c r="K17" s="26" t="s">
        <v>405</v>
      </c>
      <c r="L17" s="339">
        <v>45874</v>
      </c>
      <c r="M17" s="343" t="s">
        <v>395</v>
      </c>
      <c r="N17" s="338" t="s">
        <v>396</v>
      </c>
      <c r="O17" s="14" t="s">
        <v>439</v>
      </c>
      <c r="P17" s="338" t="s">
        <v>398</v>
      </c>
      <c r="Q17" s="14">
        <v>99.6255</v>
      </c>
      <c r="R17" s="14">
        <v>1300</v>
      </c>
      <c r="S17" s="14" t="s">
        <v>218</v>
      </c>
      <c r="T17" s="26">
        <v>100.7443</v>
      </c>
      <c r="W17" s="14">
        <v>8</v>
      </c>
      <c r="X17" s="14">
        <v>0.9566</v>
      </c>
      <c r="AB17" s="26" t="s">
        <v>405</v>
      </c>
      <c r="AC17" s="14" t="s">
        <v>399</v>
      </c>
      <c r="AD17" s="372" t="s">
        <v>222</v>
      </c>
      <c r="AE17" s="372"/>
      <c r="AF17" s="14"/>
      <c r="AG17" s="14"/>
      <c r="AH17" s="13"/>
      <c r="AI17" s="13"/>
      <c r="AJ17" s="13"/>
    </row>
    <row r="18" s="4" customFormat="1" ht="51.75" customHeight="1" spans="1:36">
      <c r="A18" s="26" t="s">
        <v>387</v>
      </c>
      <c r="B18" s="26">
        <v>17</v>
      </c>
      <c r="C18" s="26" t="s">
        <v>440</v>
      </c>
      <c r="D18" s="140" t="s">
        <v>274</v>
      </c>
      <c r="E18" s="342" t="s">
        <v>161</v>
      </c>
      <c r="F18" s="343" t="s">
        <v>436</v>
      </c>
      <c r="G18" s="344" t="s">
        <v>390</v>
      </c>
      <c r="H18" s="342" t="s">
        <v>427</v>
      </c>
      <c r="I18" s="140" t="s">
        <v>412</v>
      </c>
      <c r="J18" s="140" t="s">
        <v>393</v>
      </c>
      <c r="K18" s="26" t="s">
        <v>405</v>
      </c>
      <c r="L18" s="339">
        <v>45874</v>
      </c>
      <c r="M18" s="343" t="s">
        <v>413</v>
      </c>
      <c r="N18" s="357" t="s">
        <v>414</v>
      </c>
      <c r="O18" s="358" t="s">
        <v>397</v>
      </c>
      <c r="P18" s="357" t="s">
        <v>398</v>
      </c>
      <c r="Q18" s="26">
        <v>96</v>
      </c>
      <c r="R18" s="26">
        <v>6300</v>
      </c>
      <c r="S18" s="26" t="s">
        <v>218</v>
      </c>
      <c r="T18" s="26">
        <v>97.119</v>
      </c>
      <c r="U18" s="26"/>
      <c r="V18" s="26"/>
      <c r="W18" s="26"/>
      <c r="X18" s="26"/>
      <c r="Y18" s="26"/>
      <c r="Z18" s="26"/>
      <c r="AA18" s="26"/>
      <c r="AB18" s="26" t="s">
        <v>405</v>
      </c>
      <c r="AC18" s="14" t="s">
        <v>399</v>
      </c>
      <c r="AD18" s="377" t="s">
        <v>222</v>
      </c>
      <c r="AE18" s="377"/>
      <c r="AF18" s="26"/>
      <c r="AG18" s="26"/>
      <c r="AH18" s="336"/>
      <c r="AI18" s="336"/>
      <c r="AJ18" s="336"/>
    </row>
    <row r="19" s="5" customFormat="1" ht="24" spans="1:36">
      <c r="A19" s="26" t="s">
        <v>387</v>
      </c>
      <c r="B19" s="26">
        <v>1</v>
      </c>
      <c r="C19" s="26" t="s">
        <v>441</v>
      </c>
      <c r="D19" s="140" t="s">
        <v>276</v>
      </c>
      <c r="E19" s="26" t="s">
        <v>163</v>
      </c>
      <c r="F19" s="343" t="s">
        <v>389</v>
      </c>
      <c r="G19" s="344" t="s">
        <v>442</v>
      </c>
      <c r="H19" s="342" t="s">
        <v>443</v>
      </c>
      <c r="I19" s="140" t="s">
        <v>392</v>
      </c>
      <c r="J19" s="140" t="s">
        <v>393</v>
      </c>
      <c r="K19" s="26" t="s">
        <v>444</v>
      </c>
      <c r="L19" s="359">
        <v>45870</v>
      </c>
      <c r="M19" s="26" t="s">
        <v>445</v>
      </c>
      <c r="N19" s="343" t="s">
        <v>446</v>
      </c>
      <c r="O19" s="26" t="s">
        <v>397</v>
      </c>
      <c r="P19" s="343" t="s">
        <v>398</v>
      </c>
      <c r="Q19" s="26">
        <v>99</v>
      </c>
      <c r="R19" s="26">
        <v>5000</v>
      </c>
      <c r="S19" s="26" t="s">
        <v>218</v>
      </c>
      <c r="T19" s="26">
        <v>104.0753</v>
      </c>
      <c r="U19" s="26"/>
      <c r="V19" s="26"/>
      <c r="W19" s="26"/>
      <c r="X19" s="26"/>
      <c r="Y19" s="26"/>
      <c r="Z19" s="26"/>
      <c r="AA19" s="26"/>
      <c r="AB19" s="26" t="s">
        <v>444</v>
      </c>
      <c r="AC19" s="14" t="s">
        <v>399</v>
      </c>
      <c r="AD19" s="377" t="s">
        <v>222</v>
      </c>
      <c r="AE19" s="377"/>
      <c r="AF19" s="26"/>
      <c r="AG19" s="26"/>
      <c r="AH19" s="10"/>
      <c r="AI19" s="10"/>
      <c r="AJ19" s="10"/>
    </row>
    <row r="20" s="5" customFormat="1" ht="24" spans="1:36">
      <c r="A20" s="26" t="s">
        <v>387</v>
      </c>
      <c r="B20" s="26">
        <v>2</v>
      </c>
      <c r="C20" s="26" t="s">
        <v>447</v>
      </c>
      <c r="D20" s="140" t="s">
        <v>278</v>
      </c>
      <c r="E20" s="26" t="s">
        <v>163</v>
      </c>
      <c r="F20" s="343" t="s">
        <v>448</v>
      </c>
      <c r="G20" s="344" t="s">
        <v>442</v>
      </c>
      <c r="H20" s="140">
        <v>20250704</v>
      </c>
      <c r="I20" s="140" t="s">
        <v>392</v>
      </c>
      <c r="J20" s="140" t="s">
        <v>432</v>
      </c>
      <c r="K20" s="26" t="s">
        <v>444</v>
      </c>
      <c r="L20" s="359">
        <v>45870</v>
      </c>
      <c r="M20" s="343" t="s">
        <v>445</v>
      </c>
      <c r="N20" s="343" t="s">
        <v>446</v>
      </c>
      <c r="O20" s="26" t="s">
        <v>397</v>
      </c>
      <c r="P20" s="343" t="s">
        <v>398</v>
      </c>
      <c r="Q20" s="26">
        <v>101</v>
      </c>
      <c r="R20" s="26">
        <v>1000</v>
      </c>
      <c r="S20" s="26" t="s">
        <v>218</v>
      </c>
      <c r="T20" s="26">
        <v>106.0753</v>
      </c>
      <c r="U20" s="26"/>
      <c r="V20" s="26"/>
      <c r="W20" s="26"/>
      <c r="X20" s="26"/>
      <c r="Y20" s="26"/>
      <c r="Z20" s="26"/>
      <c r="AA20" s="26"/>
      <c r="AB20" s="26" t="s">
        <v>444</v>
      </c>
      <c r="AC20" s="14" t="s">
        <v>399</v>
      </c>
      <c r="AD20" s="377" t="s">
        <v>222</v>
      </c>
      <c r="AE20" s="377"/>
      <c r="AF20" s="26"/>
      <c r="AG20" s="26"/>
      <c r="AH20" s="10"/>
      <c r="AI20" s="10"/>
      <c r="AJ20" s="10"/>
    </row>
    <row r="21" s="5" customFormat="1" ht="24" spans="1:36">
      <c r="A21" s="26" t="s">
        <v>387</v>
      </c>
      <c r="B21" s="26">
        <v>3</v>
      </c>
      <c r="C21" s="26" t="s">
        <v>449</v>
      </c>
      <c r="D21" s="140" t="s">
        <v>279</v>
      </c>
      <c r="E21" s="26" t="s">
        <v>163</v>
      </c>
      <c r="F21" s="343" t="s">
        <v>401</v>
      </c>
      <c r="G21" s="344" t="s">
        <v>442</v>
      </c>
      <c r="H21" s="343" t="s">
        <v>450</v>
      </c>
      <c r="I21" s="140" t="s">
        <v>412</v>
      </c>
      <c r="J21" s="140" t="s">
        <v>393</v>
      </c>
      <c r="K21" s="26" t="s">
        <v>444</v>
      </c>
      <c r="L21" s="359">
        <v>45873</v>
      </c>
      <c r="M21" s="26" t="s">
        <v>451</v>
      </c>
      <c r="N21" s="343" t="s">
        <v>452</v>
      </c>
      <c r="O21" s="26" t="s">
        <v>397</v>
      </c>
      <c r="P21" s="343" t="s">
        <v>398</v>
      </c>
      <c r="Q21" s="26">
        <v>98</v>
      </c>
      <c r="R21" s="26">
        <v>1000</v>
      </c>
      <c r="S21" s="26" t="s">
        <v>218</v>
      </c>
      <c r="T21" s="26">
        <v>103.129</v>
      </c>
      <c r="U21" s="26"/>
      <c r="V21" s="26"/>
      <c r="W21" s="26"/>
      <c r="X21" s="26"/>
      <c r="Y21" s="26"/>
      <c r="Z21" s="26"/>
      <c r="AA21" s="26"/>
      <c r="AB21" s="26" t="s">
        <v>444</v>
      </c>
      <c r="AC21" s="14" t="s">
        <v>399</v>
      </c>
      <c r="AD21" s="377" t="s">
        <v>222</v>
      </c>
      <c r="AE21" s="377"/>
      <c r="AF21" s="26"/>
      <c r="AG21" s="26"/>
      <c r="AH21" s="10"/>
      <c r="AI21" s="10"/>
      <c r="AJ21" s="10"/>
    </row>
    <row r="22" s="5" customFormat="1" ht="24" spans="1:36">
      <c r="A22" s="26" t="s">
        <v>387</v>
      </c>
      <c r="B22" s="26">
        <v>4</v>
      </c>
      <c r="C22" s="26" t="s">
        <v>453</v>
      </c>
      <c r="D22" s="140" t="s">
        <v>280</v>
      </c>
      <c r="E22" s="26" t="s">
        <v>163</v>
      </c>
      <c r="F22" s="343" t="s">
        <v>401</v>
      </c>
      <c r="G22" s="344" t="s">
        <v>442</v>
      </c>
      <c r="H22" s="343">
        <v>20250707</v>
      </c>
      <c r="I22" s="140" t="s">
        <v>416</v>
      </c>
      <c r="J22" s="140" t="s">
        <v>393</v>
      </c>
      <c r="K22" s="26" t="s">
        <v>444</v>
      </c>
      <c r="L22" s="359">
        <v>45873</v>
      </c>
      <c r="M22" s="26" t="s">
        <v>451</v>
      </c>
      <c r="N22" s="343" t="s">
        <v>452</v>
      </c>
      <c r="O22" s="26" t="s">
        <v>397</v>
      </c>
      <c r="P22" s="343" t="s">
        <v>398</v>
      </c>
      <c r="Q22" s="26">
        <v>98</v>
      </c>
      <c r="R22" s="26">
        <v>2000</v>
      </c>
      <c r="S22" s="26"/>
      <c r="T22" s="26">
        <v>103.111</v>
      </c>
      <c r="U22" s="26"/>
      <c r="V22" s="26"/>
      <c r="W22" s="26"/>
      <c r="X22" s="26"/>
      <c r="Y22" s="26"/>
      <c r="Z22" s="26"/>
      <c r="AA22" s="26"/>
      <c r="AB22" s="26" t="s">
        <v>444</v>
      </c>
      <c r="AC22" s="14" t="s">
        <v>399</v>
      </c>
      <c r="AD22" s="377" t="s">
        <v>222</v>
      </c>
      <c r="AE22" s="377"/>
      <c r="AF22" s="26"/>
      <c r="AG22" s="26"/>
      <c r="AH22" s="10"/>
      <c r="AI22" s="10"/>
      <c r="AJ22" s="10"/>
    </row>
    <row r="23" s="5" customFormat="1" ht="24" spans="1:36">
      <c r="A23" s="26" t="s">
        <v>387</v>
      </c>
      <c r="B23" s="26">
        <v>5</v>
      </c>
      <c r="C23" s="26" t="s">
        <v>454</v>
      </c>
      <c r="D23" s="140" t="s">
        <v>281</v>
      </c>
      <c r="E23" s="26" t="s">
        <v>163</v>
      </c>
      <c r="F23" s="343" t="s">
        <v>401</v>
      </c>
      <c r="G23" s="344" t="s">
        <v>442</v>
      </c>
      <c r="H23" s="343">
        <v>20250707</v>
      </c>
      <c r="I23" s="140" t="s">
        <v>455</v>
      </c>
      <c r="J23" s="140" t="s">
        <v>404</v>
      </c>
      <c r="K23" s="26" t="s">
        <v>444</v>
      </c>
      <c r="L23" s="359">
        <v>45873</v>
      </c>
      <c r="M23" s="343" t="s">
        <v>445</v>
      </c>
      <c r="N23" s="343" t="s">
        <v>446</v>
      </c>
      <c r="O23" s="26" t="s">
        <v>397</v>
      </c>
      <c r="P23" s="343" t="s">
        <v>398</v>
      </c>
      <c r="Q23" s="26"/>
      <c r="R23" s="26">
        <v>1000</v>
      </c>
      <c r="S23" s="26" t="s">
        <v>218</v>
      </c>
      <c r="T23" s="26"/>
      <c r="U23" s="26"/>
      <c r="V23" s="26"/>
      <c r="W23" s="26">
        <v>8</v>
      </c>
      <c r="X23" s="26">
        <v>4.4</v>
      </c>
      <c r="Y23" s="26" t="s">
        <v>445</v>
      </c>
      <c r="Z23" s="343" t="s">
        <v>446</v>
      </c>
      <c r="AA23" s="26">
        <v>10000000</v>
      </c>
      <c r="AB23" s="26" t="s">
        <v>444</v>
      </c>
      <c r="AC23" s="14" t="s">
        <v>399</v>
      </c>
      <c r="AD23" s="377" t="s">
        <v>222</v>
      </c>
      <c r="AE23" s="377"/>
      <c r="AF23" s="26"/>
      <c r="AG23" s="26"/>
      <c r="AH23" s="10"/>
      <c r="AI23" s="10"/>
      <c r="AJ23" s="10"/>
    </row>
    <row r="24" s="7" customFormat="1" ht="24" spans="1:36">
      <c r="A24" s="26" t="s">
        <v>387</v>
      </c>
      <c r="B24" s="26">
        <v>6</v>
      </c>
      <c r="C24" s="26" t="s">
        <v>456</v>
      </c>
      <c r="D24" s="140" t="s">
        <v>282</v>
      </c>
      <c r="E24" s="26" t="s">
        <v>163</v>
      </c>
      <c r="F24" s="343" t="s">
        <v>401</v>
      </c>
      <c r="G24" s="344" t="s">
        <v>442</v>
      </c>
      <c r="H24" s="343">
        <v>20250707</v>
      </c>
      <c r="I24" s="136" t="s">
        <v>403</v>
      </c>
      <c r="J24" s="140" t="s">
        <v>404</v>
      </c>
      <c r="K24" s="26" t="s">
        <v>444</v>
      </c>
      <c r="L24" s="359">
        <v>45873</v>
      </c>
      <c r="M24" s="343" t="s">
        <v>445</v>
      </c>
      <c r="N24" s="343" t="s">
        <v>446</v>
      </c>
      <c r="O24" s="26" t="s">
        <v>397</v>
      </c>
      <c r="P24" s="343" t="s">
        <v>398</v>
      </c>
      <c r="Q24" s="26">
        <v>89</v>
      </c>
      <c r="R24" s="26">
        <v>3000</v>
      </c>
      <c r="S24" s="26" t="s">
        <v>218</v>
      </c>
      <c r="T24" s="26">
        <v>94.1288</v>
      </c>
      <c r="U24" s="26"/>
      <c r="V24" s="26"/>
      <c r="W24" s="26">
        <v>8</v>
      </c>
      <c r="X24" s="26">
        <v>4.5</v>
      </c>
      <c r="Y24" s="26" t="s">
        <v>445</v>
      </c>
      <c r="Z24" s="343" t="s">
        <v>446</v>
      </c>
      <c r="AA24" s="26"/>
      <c r="AB24" s="26" t="s">
        <v>444</v>
      </c>
      <c r="AC24" s="14" t="s">
        <v>399</v>
      </c>
      <c r="AD24" s="377" t="s">
        <v>222</v>
      </c>
      <c r="AE24" s="377"/>
      <c r="AF24" s="26"/>
      <c r="AG24" s="26"/>
      <c r="AH24" s="10"/>
      <c r="AI24" s="10"/>
      <c r="AJ24" s="10"/>
    </row>
    <row r="25" s="7" customFormat="1" ht="24" spans="1:36">
      <c r="A25" s="26" t="s">
        <v>387</v>
      </c>
      <c r="B25" s="26">
        <v>7</v>
      </c>
      <c r="C25" s="26" t="s">
        <v>457</v>
      </c>
      <c r="D25" s="26" t="s">
        <v>283</v>
      </c>
      <c r="E25" s="26" t="s">
        <v>163</v>
      </c>
      <c r="F25" s="343" t="s">
        <v>401</v>
      </c>
      <c r="G25" s="344" t="s">
        <v>442</v>
      </c>
      <c r="H25" s="343">
        <v>20250707</v>
      </c>
      <c r="I25" s="136" t="s">
        <v>458</v>
      </c>
      <c r="J25" s="140" t="s">
        <v>404</v>
      </c>
      <c r="K25" s="26" t="s">
        <v>444</v>
      </c>
      <c r="L25" s="359">
        <v>45873</v>
      </c>
      <c r="M25" s="26" t="s">
        <v>451</v>
      </c>
      <c r="N25" s="343" t="s">
        <v>452</v>
      </c>
      <c r="O25" s="26" t="s">
        <v>397</v>
      </c>
      <c r="P25" s="343" t="s">
        <v>398</v>
      </c>
      <c r="Q25" s="26"/>
      <c r="R25" s="34">
        <v>1000</v>
      </c>
      <c r="S25" s="26"/>
      <c r="T25" s="26"/>
      <c r="U25" s="26"/>
      <c r="V25" s="26"/>
      <c r="W25" s="26">
        <v>8</v>
      </c>
      <c r="X25" s="26">
        <v>4.6</v>
      </c>
      <c r="Y25" s="26" t="s">
        <v>451</v>
      </c>
      <c r="Z25" s="343" t="s">
        <v>452</v>
      </c>
      <c r="AA25" s="34">
        <v>10000000</v>
      </c>
      <c r="AB25" s="26" t="s">
        <v>444</v>
      </c>
      <c r="AC25" s="14" t="s">
        <v>399</v>
      </c>
      <c r="AD25" s="377" t="s">
        <v>222</v>
      </c>
      <c r="AE25" s="377"/>
      <c r="AF25" s="26"/>
      <c r="AG25" s="26"/>
      <c r="AH25" s="10"/>
      <c r="AI25" s="10"/>
      <c r="AJ25" s="10"/>
    </row>
    <row r="26" s="7" customFormat="1" ht="24" spans="1:36">
      <c r="A26" s="26" t="s">
        <v>387</v>
      </c>
      <c r="B26" s="26">
        <v>8</v>
      </c>
      <c r="C26" s="26" t="s">
        <v>459</v>
      </c>
      <c r="D26" s="140" t="s">
        <v>284</v>
      </c>
      <c r="E26" s="26" t="s">
        <v>163</v>
      </c>
      <c r="F26" s="26" t="s">
        <v>436</v>
      </c>
      <c r="G26" s="344" t="s">
        <v>442</v>
      </c>
      <c r="H26" s="343">
        <v>20250708</v>
      </c>
      <c r="I26" s="140" t="s">
        <v>392</v>
      </c>
      <c r="J26" s="140" t="s">
        <v>393</v>
      </c>
      <c r="K26" s="26" t="s">
        <v>460</v>
      </c>
      <c r="L26" s="359">
        <v>45874</v>
      </c>
      <c r="M26" s="343" t="s">
        <v>445</v>
      </c>
      <c r="N26" s="343" t="s">
        <v>446</v>
      </c>
      <c r="O26" s="26" t="s">
        <v>397</v>
      </c>
      <c r="P26" s="343" t="s">
        <v>398</v>
      </c>
      <c r="Q26" s="26">
        <v>99</v>
      </c>
      <c r="R26" s="26">
        <v>1000</v>
      </c>
      <c r="S26" s="26" t="s">
        <v>218</v>
      </c>
      <c r="T26" s="26">
        <v>104.1466</v>
      </c>
      <c r="U26" s="26"/>
      <c r="V26" s="26"/>
      <c r="W26" s="26"/>
      <c r="X26" s="26"/>
      <c r="Y26" s="26"/>
      <c r="Z26" s="26"/>
      <c r="AA26" s="26"/>
      <c r="AB26" s="26" t="s">
        <v>460</v>
      </c>
      <c r="AC26" s="14" t="s">
        <v>399</v>
      </c>
      <c r="AD26" s="377" t="s">
        <v>222</v>
      </c>
      <c r="AE26" s="377"/>
      <c r="AF26" s="26"/>
      <c r="AG26" s="26"/>
      <c r="AH26" s="10"/>
      <c r="AI26" s="10"/>
      <c r="AJ26" s="10"/>
    </row>
    <row r="27" s="7" customFormat="1" ht="24" spans="1:36">
      <c r="A27" s="26" t="s">
        <v>387</v>
      </c>
      <c r="B27" s="26">
        <v>9</v>
      </c>
      <c r="C27" s="26" t="s">
        <v>461</v>
      </c>
      <c r="D27" s="140" t="s">
        <v>285</v>
      </c>
      <c r="E27" s="26" t="s">
        <v>163</v>
      </c>
      <c r="F27" s="26" t="s">
        <v>436</v>
      </c>
      <c r="G27" s="344" t="s">
        <v>442</v>
      </c>
      <c r="H27" s="343">
        <v>20250708</v>
      </c>
      <c r="I27" s="140" t="s">
        <v>412</v>
      </c>
      <c r="J27" s="140" t="s">
        <v>393</v>
      </c>
      <c r="K27" s="26" t="s">
        <v>444</v>
      </c>
      <c r="L27" s="359">
        <v>45874</v>
      </c>
      <c r="M27" s="26" t="s">
        <v>451</v>
      </c>
      <c r="N27" s="343" t="s">
        <v>452</v>
      </c>
      <c r="O27" s="26" t="s">
        <v>397</v>
      </c>
      <c r="P27" s="343" t="s">
        <v>398</v>
      </c>
      <c r="Q27" s="26">
        <v>99</v>
      </c>
      <c r="R27" s="26">
        <v>1000</v>
      </c>
      <c r="S27" s="26" t="s">
        <v>218</v>
      </c>
      <c r="T27" s="26">
        <v>104.147</v>
      </c>
      <c r="U27" s="26"/>
      <c r="V27" s="26"/>
      <c r="W27" s="26"/>
      <c r="X27" s="26"/>
      <c r="Y27" s="26"/>
      <c r="Z27" s="26"/>
      <c r="AA27" s="26"/>
      <c r="AB27" s="26" t="s">
        <v>444</v>
      </c>
      <c r="AC27" s="14" t="s">
        <v>399</v>
      </c>
      <c r="AD27" s="377" t="s">
        <v>222</v>
      </c>
      <c r="AE27" s="377"/>
      <c r="AF27" s="26"/>
      <c r="AG27" s="26"/>
      <c r="AH27" s="10"/>
      <c r="AI27" s="10"/>
      <c r="AJ27" s="10"/>
    </row>
    <row r="28" s="7" customFormat="1" ht="24" spans="1:36">
      <c r="A28" s="26" t="s">
        <v>387</v>
      </c>
      <c r="B28" s="26">
        <v>10</v>
      </c>
      <c r="C28" s="26" t="s">
        <v>462</v>
      </c>
      <c r="D28" s="140" t="s">
        <v>286</v>
      </c>
      <c r="E28" s="26" t="s">
        <v>163</v>
      </c>
      <c r="F28" s="26" t="s">
        <v>436</v>
      </c>
      <c r="G28" s="344" t="s">
        <v>442</v>
      </c>
      <c r="H28" s="343">
        <v>20250708</v>
      </c>
      <c r="I28" s="140" t="s">
        <v>416</v>
      </c>
      <c r="J28" s="140" t="s">
        <v>393</v>
      </c>
      <c r="K28" s="26" t="s">
        <v>444</v>
      </c>
      <c r="L28" s="359">
        <v>45874</v>
      </c>
      <c r="M28" s="343" t="s">
        <v>445</v>
      </c>
      <c r="N28" s="343" t="s">
        <v>446</v>
      </c>
      <c r="O28" s="26" t="s">
        <v>397</v>
      </c>
      <c r="P28" s="343" t="s">
        <v>398</v>
      </c>
      <c r="Q28" s="26">
        <v>101</v>
      </c>
      <c r="R28" s="26">
        <v>1000</v>
      </c>
      <c r="S28" s="26"/>
      <c r="T28" s="26">
        <v>106.1466</v>
      </c>
      <c r="U28" s="26"/>
      <c r="V28" s="26"/>
      <c r="W28" s="26"/>
      <c r="X28" s="26"/>
      <c r="Y28" s="26"/>
      <c r="Z28" s="26"/>
      <c r="AA28" s="26"/>
      <c r="AB28" s="26" t="s">
        <v>444</v>
      </c>
      <c r="AC28" s="14" t="s">
        <v>399</v>
      </c>
      <c r="AD28" s="377" t="s">
        <v>222</v>
      </c>
      <c r="AE28" s="377"/>
      <c r="AF28" s="26"/>
      <c r="AG28" s="26"/>
      <c r="AH28" s="10"/>
      <c r="AI28" s="10"/>
      <c r="AJ28" s="10"/>
    </row>
    <row r="29" s="7" customFormat="1" ht="24" spans="1:36">
      <c r="A29" s="26" t="s">
        <v>387</v>
      </c>
      <c r="B29" s="26">
        <v>11</v>
      </c>
      <c r="C29" s="26" t="s">
        <v>463</v>
      </c>
      <c r="D29" s="140" t="s">
        <v>287</v>
      </c>
      <c r="E29" s="26" t="s">
        <v>163</v>
      </c>
      <c r="F29" s="26" t="s">
        <v>436</v>
      </c>
      <c r="G29" s="344" t="s">
        <v>442</v>
      </c>
      <c r="H29" s="343">
        <v>20250708</v>
      </c>
      <c r="I29" s="140" t="s">
        <v>455</v>
      </c>
      <c r="J29" s="140" t="s">
        <v>404</v>
      </c>
      <c r="K29" s="26" t="s">
        <v>444</v>
      </c>
      <c r="L29" s="359">
        <v>45874</v>
      </c>
      <c r="M29" s="343" t="s">
        <v>445</v>
      </c>
      <c r="N29" s="343" t="s">
        <v>446</v>
      </c>
      <c r="O29" s="26" t="s">
        <v>397</v>
      </c>
      <c r="P29" s="343" t="s">
        <v>398</v>
      </c>
      <c r="Q29" s="26"/>
      <c r="R29" s="26">
        <v>1000</v>
      </c>
      <c r="S29" s="26" t="s">
        <v>218</v>
      </c>
      <c r="T29" s="26"/>
      <c r="U29" s="26"/>
      <c r="V29" s="26"/>
      <c r="W29" s="26">
        <v>8</v>
      </c>
      <c r="X29" s="26">
        <v>4.5</v>
      </c>
      <c r="Y29" s="26" t="s">
        <v>445</v>
      </c>
      <c r="Z29" s="343" t="s">
        <v>446</v>
      </c>
      <c r="AA29" s="26">
        <v>10000000</v>
      </c>
      <c r="AB29" s="26" t="s">
        <v>444</v>
      </c>
      <c r="AC29" s="14" t="s">
        <v>399</v>
      </c>
      <c r="AD29" s="377" t="s">
        <v>222</v>
      </c>
      <c r="AE29" s="377"/>
      <c r="AF29" s="26"/>
      <c r="AG29" s="26"/>
      <c r="AH29" s="10"/>
      <c r="AI29" s="10"/>
      <c r="AJ29" s="10"/>
    </row>
    <row r="30" s="7" customFormat="1" ht="24" spans="1:36">
      <c r="A30" s="26" t="s">
        <v>387</v>
      </c>
      <c r="B30" s="26">
        <v>12</v>
      </c>
      <c r="C30" s="26" t="s">
        <v>464</v>
      </c>
      <c r="D30" s="136" t="s">
        <v>288</v>
      </c>
      <c r="E30" s="26" t="s">
        <v>163</v>
      </c>
      <c r="F30" s="26" t="s">
        <v>436</v>
      </c>
      <c r="G30" s="344" t="s">
        <v>442</v>
      </c>
      <c r="H30" s="343">
        <v>20250708</v>
      </c>
      <c r="I30" s="136" t="s">
        <v>403</v>
      </c>
      <c r="J30" s="140" t="s">
        <v>404</v>
      </c>
      <c r="K30" s="26" t="s">
        <v>444</v>
      </c>
      <c r="L30" s="359">
        <v>45874</v>
      </c>
      <c r="M30" s="343" t="s">
        <v>445</v>
      </c>
      <c r="N30" s="343" t="s">
        <v>446</v>
      </c>
      <c r="O30" s="26" t="s">
        <v>397</v>
      </c>
      <c r="P30" s="343" t="s">
        <v>398</v>
      </c>
      <c r="Q30" s="26">
        <v>89</v>
      </c>
      <c r="R30" s="26">
        <v>3000</v>
      </c>
      <c r="S30" s="26" t="s">
        <v>218</v>
      </c>
      <c r="T30" s="26">
        <v>94.1466</v>
      </c>
      <c r="U30" s="26"/>
      <c r="V30" s="26"/>
      <c r="W30" s="26">
        <v>8</v>
      </c>
      <c r="X30" s="26">
        <v>4.5</v>
      </c>
      <c r="Y30" s="26" t="s">
        <v>445</v>
      </c>
      <c r="Z30" s="343" t="s">
        <v>446</v>
      </c>
      <c r="AA30" s="26"/>
      <c r="AB30" s="26" t="s">
        <v>444</v>
      </c>
      <c r="AC30" s="14" t="s">
        <v>399</v>
      </c>
      <c r="AD30" s="377" t="s">
        <v>222</v>
      </c>
      <c r="AE30" s="377"/>
      <c r="AF30" s="26"/>
      <c r="AG30" s="26"/>
      <c r="AH30" s="10"/>
      <c r="AI30" s="10"/>
      <c r="AJ30" s="10"/>
    </row>
    <row r="31" s="7" customFormat="1" ht="24" spans="1:36">
      <c r="A31" s="26" t="s">
        <v>387</v>
      </c>
      <c r="B31" s="26">
        <v>13</v>
      </c>
      <c r="C31" s="26" t="s">
        <v>465</v>
      </c>
      <c r="D31" s="26" t="s">
        <v>289</v>
      </c>
      <c r="E31" s="26" t="s">
        <v>163</v>
      </c>
      <c r="F31" s="26" t="s">
        <v>436</v>
      </c>
      <c r="G31" s="344" t="s">
        <v>442</v>
      </c>
      <c r="H31" s="343">
        <v>20250708</v>
      </c>
      <c r="I31" s="360" t="s">
        <v>458</v>
      </c>
      <c r="J31" s="140" t="s">
        <v>404</v>
      </c>
      <c r="K31" s="26" t="s">
        <v>444</v>
      </c>
      <c r="L31" s="359">
        <v>45874</v>
      </c>
      <c r="M31" s="26" t="s">
        <v>451</v>
      </c>
      <c r="N31" s="343" t="s">
        <v>452</v>
      </c>
      <c r="O31" s="26" t="s">
        <v>397</v>
      </c>
      <c r="P31" s="343" t="s">
        <v>398</v>
      </c>
      <c r="Q31" s="26"/>
      <c r="R31" s="34">
        <v>1000</v>
      </c>
      <c r="S31" s="26"/>
      <c r="T31" s="26"/>
      <c r="U31" s="26"/>
      <c r="V31" s="26"/>
      <c r="W31" s="26">
        <v>4</v>
      </c>
      <c r="X31" s="26">
        <v>4.623</v>
      </c>
      <c r="Y31" s="26" t="s">
        <v>451</v>
      </c>
      <c r="Z31" s="343" t="s">
        <v>452</v>
      </c>
      <c r="AA31" s="34">
        <v>10000000</v>
      </c>
      <c r="AB31" s="26" t="s">
        <v>444</v>
      </c>
      <c r="AC31" s="14" t="s">
        <v>399</v>
      </c>
      <c r="AD31" s="377" t="s">
        <v>222</v>
      </c>
      <c r="AE31" s="377"/>
      <c r="AF31" s="26"/>
      <c r="AG31" s="26"/>
      <c r="AH31" s="10"/>
      <c r="AI31" s="10"/>
      <c r="AJ31" s="10"/>
    </row>
    <row r="32" s="5" customFormat="1" ht="51.75" customHeight="1" spans="1:36">
      <c r="A32" s="26" t="s">
        <v>387</v>
      </c>
      <c r="B32" s="26">
        <v>14</v>
      </c>
      <c r="C32" s="26" t="s">
        <v>466</v>
      </c>
      <c r="D32" s="345" t="s">
        <v>290</v>
      </c>
      <c r="E32" s="26" t="s">
        <v>163</v>
      </c>
      <c r="F32" s="343" t="s">
        <v>467</v>
      </c>
      <c r="G32" s="344" t="s">
        <v>442</v>
      </c>
      <c r="H32" s="343">
        <v>20250708</v>
      </c>
      <c r="I32" s="140" t="s">
        <v>392</v>
      </c>
      <c r="J32" s="140" t="s">
        <v>432</v>
      </c>
      <c r="K32" s="26" t="s">
        <v>444</v>
      </c>
      <c r="L32" s="359">
        <v>45874</v>
      </c>
      <c r="M32" s="343" t="s">
        <v>445</v>
      </c>
      <c r="N32" s="343" t="s">
        <v>446</v>
      </c>
      <c r="O32" s="26" t="s">
        <v>397</v>
      </c>
      <c r="P32" s="343" t="s">
        <v>398</v>
      </c>
      <c r="Q32" s="26">
        <v>99</v>
      </c>
      <c r="R32" s="26">
        <v>5000</v>
      </c>
      <c r="S32" s="26" t="s">
        <v>218</v>
      </c>
      <c r="T32" s="26">
        <v>104.1466</v>
      </c>
      <c r="U32" s="26"/>
      <c r="V32" s="26"/>
      <c r="W32" s="26"/>
      <c r="X32" s="26"/>
      <c r="Y32" s="26"/>
      <c r="Z32" s="26"/>
      <c r="AA32" s="26"/>
      <c r="AB32" s="26" t="s">
        <v>444</v>
      </c>
      <c r="AC32" s="14" t="s">
        <v>399</v>
      </c>
      <c r="AD32" s="377" t="s">
        <v>222</v>
      </c>
      <c r="AE32" s="377"/>
      <c r="AF32" s="26"/>
      <c r="AG32" s="26"/>
      <c r="AH32" s="10"/>
      <c r="AI32" s="10"/>
      <c r="AJ32" s="10"/>
    </row>
    <row r="33" s="7" customFormat="1" ht="24" spans="1:36">
      <c r="A33" s="133" t="s">
        <v>387</v>
      </c>
      <c r="B33" s="26">
        <v>15</v>
      </c>
      <c r="C33" s="133" t="s">
        <v>468</v>
      </c>
      <c r="D33" s="140" t="s">
        <v>291</v>
      </c>
      <c r="E33" s="26" t="s">
        <v>163</v>
      </c>
      <c r="F33" s="343" t="s">
        <v>467</v>
      </c>
      <c r="G33" s="344" t="s">
        <v>442</v>
      </c>
      <c r="H33" s="343">
        <v>20250708</v>
      </c>
      <c r="I33" s="140" t="s">
        <v>412</v>
      </c>
      <c r="J33" s="140" t="s">
        <v>432</v>
      </c>
      <c r="K33" s="26" t="s">
        <v>444</v>
      </c>
      <c r="L33" s="359">
        <v>45874</v>
      </c>
      <c r="M33" s="26" t="s">
        <v>451</v>
      </c>
      <c r="N33" s="343" t="s">
        <v>452</v>
      </c>
      <c r="O33" s="26" t="s">
        <v>397</v>
      </c>
      <c r="P33" s="361" t="s">
        <v>398</v>
      </c>
      <c r="Q33" s="26">
        <v>99</v>
      </c>
      <c r="R33" s="26">
        <v>3000</v>
      </c>
      <c r="S33" s="26" t="s">
        <v>218</v>
      </c>
      <c r="T33" s="26">
        <v>104.147</v>
      </c>
      <c r="U33" s="133"/>
      <c r="V33" s="133"/>
      <c r="W33" s="133"/>
      <c r="X33" s="133"/>
      <c r="Y33" s="133"/>
      <c r="Z33" s="133"/>
      <c r="AA33" s="133"/>
      <c r="AB33" s="26" t="s">
        <v>444</v>
      </c>
      <c r="AC33" s="14" t="s">
        <v>399</v>
      </c>
      <c r="AD33" s="377" t="s">
        <v>222</v>
      </c>
      <c r="AE33" s="377"/>
      <c r="AF33" s="26"/>
      <c r="AG33" s="26"/>
      <c r="AH33" s="10"/>
      <c r="AI33" s="10"/>
      <c r="AJ33" s="10"/>
    </row>
    <row r="34" s="8" customFormat="1" ht="24" spans="1:36">
      <c r="A34" s="133" t="s">
        <v>387</v>
      </c>
      <c r="B34" s="26">
        <v>16</v>
      </c>
      <c r="C34" s="26" t="s">
        <v>469</v>
      </c>
      <c r="D34" s="140" t="s">
        <v>292</v>
      </c>
      <c r="E34" s="26" t="s">
        <v>163</v>
      </c>
      <c r="F34" s="343" t="s">
        <v>467</v>
      </c>
      <c r="G34" s="344" t="s">
        <v>442</v>
      </c>
      <c r="H34" s="343">
        <v>20250708</v>
      </c>
      <c r="I34" s="140" t="s">
        <v>416</v>
      </c>
      <c r="J34" s="140" t="s">
        <v>432</v>
      </c>
      <c r="K34" s="26" t="s">
        <v>444</v>
      </c>
      <c r="L34" s="359">
        <v>45874</v>
      </c>
      <c r="M34" s="343" t="s">
        <v>445</v>
      </c>
      <c r="N34" s="343" t="s">
        <v>446</v>
      </c>
      <c r="O34" s="26" t="s">
        <v>397</v>
      </c>
      <c r="P34" s="343" t="s">
        <v>398</v>
      </c>
      <c r="Q34" s="26">
        <v>102</v>
      </c>
      <c r="R34" s="26">
        <v>2000</v>
      </c>
      <c r="S34" s="26" t="s">
        <v>218</v>
      </c>
      <c r="T34" s="26">
        <v>107.1466</v>
      </c>
      <c r="U34" s="26"/>
      <c r="V34" s="26"/>
      <c r="W34" s="26"/>
      <c r="X34" s="26"/>
      <c r="Y34" s="26"/>
      <c r="Z34" s="26"/>
      <c r="AA34" s="26"/>
      <c r="AB34" s="26" t="s">
        <v>444</v>
      </c>
      <c r="AC34" s="14" t="s">
        <v>399</v>
      </c>
      <c r="AD34" s="377" t="s">
        <v>222</v>
      </c>
      <c r="AE34" s="377"/>
      <c r="AF34" s="26"/>
      <c r="AG34" s="26"/>
      <c r="AH34" s="10"/>
      <c r="AI34" s="10"/>
      <c r="AJ34" s="10"/>
    </row>
    <row r="35" s="7" customFormat="1" ht="24" spans="1:36">
      <c r="A35" s="133" t="s">
        <v>387</v>
      </c>
      <c r="B35" s="26">
        <v>17</v>
      </c>
      <c r="C35" s="26" t="s">
        <v>470</v>
      </c>
      <c r="D35" s="140" t="s">
        <v>293</v>
      </c>
      <c r="E35" s="26" t="s">
        <v>163</v>
      </c>
      <c r="F35" s="343" t="s">
        <v>467</v>
      </c>
      <c r="G35" s="344" t="s">
        <v>442</v>
      </c>
      <c r="H35" s="343">
        <v>20250708</v>
      </c>
      <c r="I35" s="140" t="s">
        <v>455</v>
      </c>
      <c r="J35" s="140" t="s">
        <v>471</v>
      </c>
      <c r="K35" s="26" t="s">
        <v>444</v>
      </c>
      <c r="L35" s="359">
        <v>45874</v>
      </c>
      <c r="M35" s="343" t="s">
        <v>445</v>
      </c>
      <c r="N35" s="343" t="s">
        <v>446</v>
      </c>
      <c r="O35" s="26" t="s">
        <v>397</v>
      </c>
      <c r="P35" s="343" t="s">
        <v>398</v>
      </c>
      <c r="Q35" s="26"/>
      <c r="R35" s="26">
        <v>2000</v>
      </c>
      <c r="S35" s="26" t="s">
        <v>218</v>
      </c>
      <c r="T35" s="26"/>
      <c r="U35" s="26"/>
      <c r="V35" s="26"/>
      <c r="W35" s="26">
        <v>8</v>
      </c>
      <c r="X35" s="26">
        <v>3.4568</v>
      </c>
      <c r="Y35" s="26" t="s">
        <v>445</v>
      </c>
      <c r="Z35" s="343" t="s">
        <v>446</v>
      </c>
      <c r="AA35" s="26">
        <v>20000000</v>
      </c>
      <c r="AB35" s="26" t="s">
        <v>444</v>
      </c>
      <c r="AC35" s="14" t="s">
        <v>399</v>
      </c>
      <c r="AD35" s="377" t="s">
        <v>222</v>
      </c>
      <c r="AE35" s="377"/>
      <c r="AF35" s="26"/>
      <c r="AG35" s="26"/>
      <c r="AH35" s="10"/>
      <c r="AI35" s="10"/>
      <c r="AJ35" s="10"/>
    </row>
    <row r="36" s="10" customFormat="1" ht="24" spans="1:33">
      <c r="A36" s="348" t="s">
        <v>387</v>
      </c>
      <c r="B36" s="56">
        <v>18</v>
      </c>
      <c r="C36" s="56" t="s">
        <v>472</v>
      </c>
      <c r="D36" s="349" t="s">
        <v>294</v>
      </c>
      <c r="E36" s="56" t="s">
        <v>163</v>
      </c>
      <c r="F36" s="200" t="s">
        <v>467</v>
      </c>
      <c r="G36" s="347" t="s">
        <v>442</v>
      </c>
      <c r="H36" s="200">
        <v>20250708</v>
      </c>
      <c r="I36" s="349" t="s">
        <v>403</v>
      </c>
      <c r="J36" s="345" t="s">
        <v>471</v>
      </c>
      <c r="K36" s="56" t="s">
        <v>444</v>
      </c>
      <c r="L36" s="359">
        <v>45874</v>
      </c>
      <c r="M36" s="200" t="s">
        <v>445</v>
      </c>
      <c r="N36" s="200" t="s">
        <v>446</v>
      </c>
      <c r="O36" s="56" t="s">
        <v>397</v>
      </c>
      <c r="P36" s="200" t="s">
        <v>398</v>
      </c>
      <c r="Q36" s="56">
        <v>98.3456</v>
      </c>
      <c r="R36" s="56">
        <v>4000</v>
      </c>
      <c r="S36" s="56" t="s">
        <v>218</v>
      </c>
      <c r="T36" s="56">
        <v>103.4922</v>
      </c>
      <c r="U36" s="368">
        <v>100</v>
      </c>
      <c r="V36" s="56"/>
      <c r="W36" s="56">
        <v>4</v>
      </c>
      <c r="X36" s="56">
        <v>4.5556</v>
      </c>
      <c r="Y36" s="56" t="s">
        <v>445</v>
      </c>
      <c r="Z36" s="200" t="s">
        <v>446</v>
      </c>
      <c r="AA36" s="56"/>
      <c r="AB36" s="56" t="s">
        <v>444</v>
      </c>
      <c r="AC36" s="225" t="s">
        <v>399</v>
      </c>
      <c r="AD36" s="378" t="s">
        <v>222</v>
      </c>
      <c r="AE36" s="378"/>
      <c r="AF36" s="56"/>
      <c r="AG36" s="56"/>
    </row>
    <row r="37" s="7" customFormat="1" ht="24" spans="1:36">
      <c r="A37" s="133" t="s">
        <v>387</v>
      </c>
      <c r="B37" s="26">
        <v>19</v>
      </c>
      <c r="C37" s="26" t="s">
        <v>473</v>
      </c>
      <c r="D37" s="26" t="s">
        <v>296</v>
      </c>
      <c r="E37" s="26" t="s">
        <v>163</v>
      </c>
      <c r="F37" s="343" t="s">
        <v>467</v>
      </c>
      <c r="G37" s="344" t="s">
        <v>442</v>
      </c>
      <c r="H37" s="343">
        <v>20250708</v>
      </c>
      <c r="I37" s="136" t="s">
        <v>458</v>
      </c>
      <c r="J37" s="140" t="s">
        <v>471</v>
      </c>
      <c r="K37" s="26" t="s">
        <v>444</v>
      </c>
      <c r="L37" s="359">
        <v>45874</v>
      </c>
      <c r="M37" s="26" t="s">
        <v>451</v>
      </c>
      <c r="N37" s="343" t="s">
        <v>452</v>
      </c>
      <c r="O37" s="26" t="s">
        <v>397</v>
      </c>
      <c r="P37" s="343" t="s">
        <v>398</v>
      </c>
      <c r="Q37" s="26"/>
      <c r="R37" s="34">
        <v>3000</v>
      </c>
      <c r="S37" s="26"/>
      <c r="T37" s="26"/>
      <c r="U37" s="26"/>
      <c r="V37" s="26"/>
      <c r="W37" s="26">
        <v>4</v>
      </c>
      <c r="X37" s="26">
        <v>4.623</v>
      </c>
      <c r="Y37" s="26" t="s">
        <v>451</v>
      </c>
      <c r="Z37" s="343" t="s">
        <v>452</v>
      </c>
      <c r="AA37" s="34">
        <v>30000000</v>
      </c>
      <c r="AB37" s="26" t="s">
        <v>444</v>
      </c>
      <c r="AC37" s="14" t="s">
        <v>399</v>
      </c>
      <c r="AD37" s="377" t="s">
        <v>222</v>
      </c>
      <c r="AE37" s="377"/>
      <c r="AF37" s="26"/>
      <c r="AG37" s="26"/>
      <c r="AH37" s="10"/>
      <c r="AI37" s="10"/>
      <c r="AJ37" s="10"/>
    </row>
    <row r="38" s="10" customFormat="1" ht="24" spans="1:33">
      <c r="A38" s="56" t="s">
        <v>387</v>
      </c>
      <c r="B38" s="56">
        <v>20</v>
      </c>
      <c r="C38" s="56" t="s">
        <v>474</v>
      </c>
      <c r="D38" s="345" t="s">
        <v>297</v>
      </c>
      <c r="E38" s="56" t="s">
        <v>163</v>
      </c>
      <c r="F38" s="200" t="s">
        <v>475</v>
      </c>
      <c r="G38" s="347" t="s">
        <v>442</v>
      </c>
      <c r="H38" s="200">
        <v>20250708</v>
      </c>
      <c r="I38" s="345" t="s">
        <v>412</v>
      </c>
      <c r="J38" s="345" t="s">
        <v>432</v>
      </c>
      <c r="K38" s="56" t="s">
        <v>476</v>
      </c>
      <c r="L38" s="359">
        <v>45874</v>
      </c>
      <c r="M38" s="56" t="s">
        <v>451</v>
      </c>
      <c r="N38" s="200" t="s">
        <v>452</v>
      </c>
      <c r="O38" s="56" t="s">
        <v>397</v>
      </c>
      <c r="P38" s="200" t="s">
        <v>398</v>
      </c>
      <c r="Q38" s="56">
        <v>99</v>
      </c>
      <c r="R38" s="56">
        <v>7000</v>
      </c>
      <c r="S38" s="56" t="s">
        <v>218</v>
      </c>
      <c r="T38" s="56">
        <v>104.147</v>
      </c>
      <c r="U38" s="56"/>
      <c r="V38" s="56"/>
      <c r="W38" s="56"/>
      <c r="X38" s="56"/>
      <c r="Y38" s="56"/>
      <c r="Z38" s="56"/>
      <c r="AA38" s="56"/>
      <c r="AB38" s="56" t="s">
        <v>476</v>
      </c>
      <c r="AC38" s="225" t="s">
        <v>399</v>
      </c>
      <c r="AD38" s="378" t="s">
        <v>222</v>
      </c>
      <c r="AE38" s="378"/>
      <c r="AF38" s="56"/>
      <c r="AG38" s="56"/>
    </row>
    <row r="39" s="336" customFormat="1" ht="24" spans="1:33">
      <c r="A39" s="350" t="s">
        <v>387</v>
      </c>
      <c r="B39" s="351">
        <v>1</v>
      </c>
      <c r="C39" s="351" t="s">
        <v>477</v>
      </c>
      <c r="D39" s="351" t="s">
        <v>298</v>
      </c>
      <c r="E39" s="351" t="s">
        <v>166</v>
      </c>
      <c r="F39" s="352" t="s">
        <v>401</v>
      </c>
      <c r="G39" s="353" t="s">
        <v>478</v>
      </c>
      <c r="H39" s="352">
        <v>20250707</v>
      </c>
      <c r="I39" s="351" t="s">
        <v>392</v>
      </c>
      <c r="J39" s="351" t="s">
        <v>393</v>
      </c>
      <c r="K39" s="351" t="s">
        <v>479</v>
      </c>
      <c r="L39" s="362">
        <v>45873</v>
      </c>
      <c r="M39" s="351" t="s">
        <v>480</v>
      </c>
      <c r="N39" s="352" t="s">
        <v>481</v>
      </c>
      <c r="O39" s="351" t="s">
        <v>397</v>
      </c>
      <c r="P39" s="352" t="s">
        <v>398</v>
      </c>
      <c r="Q39" s="351">
        <v>98</v>
      </c>
      <c r="R39" s="351">
        <v>1000</v>
      </c>
      <c r="S39" s="351" t="s">
        <v>218</v>
      </c>
      <c r="T39" s="351">
        <v>100.3312</v>
      </c>
      <c r="U39" s="351"/>
      <c r="V39" s="351"/>
      <c r="W39" s="351"/>
      <c r="X39" s="351"/>
      <c r="Y39" s="351"/>
      <c r="Z39" s="351"/>
      <c r="AA39" s="351"/>
      <c r="AB39" s="351" t="s">
        <v>479</v>
      </c>
      <c r="AC39" s="358" t="s">
        <v>399</v>
      </c>
      <c r="AD39" s="379" t="s">
        <v>222</v>
      </c>
      <c r="AE39" s="379"/>
      <c r="AF39" s="351"/>
      <c r="AG39" s="351"/>
    </row>
    <row r="40" s="10" customFormat="1" ht="24" spans="1:33">
      <c r="A40" s="348" t="s">
        <v>387</v>
      </c>
      <c r="B40" s="56">
        <v>2</v>
      </c>
      <c r="C40" s="56" t="s">
        <v>482</v>
      </c>
      <c r="D40" s="56" t="s">
        <v>299</v>
      </c>
      <c r="E40" s="56" t="s">
        <v>166</v>
      </c>
      <c r="F40" s="200" t="s">
        <v>401</v>
      </c>
      <c r="G40" s="347" t="s">
        <v>478</v>
      </c>
      <c r="H40" s="200">
        <v>20250707</v>
      </c>
      <c r="I40" s="56" t="s">
        <v>412</v>
      </c>
      <c r="J40" s="56" t="s">
        <v>393</v>
      </c>
      <c r="K40" s="56" t="s">
        <v>479</v>
      </c>
      <c r="L40" s="363">
        <v>45873</v>
      </c>
      <c r="M40" s="56" t="s">
        <v>483</v>
      </c>
      <c r="N40" s="200" t="s">
        <v>484</v>
      </c>
      <c r="O40" s="56" t="s">
        <v>397</v>
      </c>
      <c r="P40" s="200" t="s">
        <v>398</v>
      </c>
      <c r="Q40" s="56">
        <v>99</v>
      </c>
      <c r="R40" s="56">
        <v>5000</v>
      </c>
      <c r="S40" s="56" t="s">
        <v>218</v>
      </c>
      <c r="T40" s="56">
        <v>101.331</v>
      </c>
      <c r="U40" s="56"/>
      <c r="V40" s="56"/>
      <c r="W40" s="56"/>
      <c r="X40" s="56"/>
      <c r="Y40" s="56"/>
      <c r="Z40" s="56"/>
      <c r="AA40" s="56"/>
      <c r="AB40" s="56" t="s">
        <v>479</v>
      </c>
      <c r="AC40" s="14" t="s">
        <v>399</v>
      </c>
      <c r="AD40" s="378" t="s">
        <v>222</v>
      </c>
      <c r="AE40" s="378"/>
      <c r="AF40" s="56"/>
      <c r="AG40" s="56"/>
    </row>
    <row r="41" s="10" customFormat="1" ht="24" spans="1:33">
      <c r="A41" s="348" t="s">
        <v>387</v>
      </c>
      <c r="B41" s="56">
        <v>3</v>
      </c>
      <c r="C41" s="56" t="s">
        <v>485</v>
      </c>
      <c r="D41" s="56" t="s">
        <v>300</v>
      </c>
      <c r="E41" s="56" t="s">
        <v>166</v>
      </c>
      <c r="F41" s="200" t="s">
        <v>409</v>
      </c>
      <c r="G41" s="347" t="s">
        <v>478</v>
      </c>
      <c r="H41" s="200">
        <v>20250707</v>
      </c>
      <c r="I41" s="56" t="s">
        <v>392</v>
      </c>
      <c r="J41" s="56" t="s">
        <v>432</v>
      </c>
      <c r="K41" s="56" t="s">
        <v>479</v>
      </c>
      <c r="L41" s="363">
        <v>45873</v>
      </c>
      <c r="M41" s="56" t="s">
        <v>480</v>
      </c>
      <c r="N41" s="200" t="s">
        <v>481</v>
      </c>
      <c r="O41" s="56" t="s">
        <v>397</v>
      </c>
      <c r="P41" s="200" t="s">
        <v>398</v>
      </c>
      <c r="Q41" s="56">
        <v>98</v>
      </c>
      <c r="R41" s="56">
        <v>2000</v>
      </c>
      <c r="S41" s="56" t="s">
        <v>218</v>
      </c>
      <c r="T41" s="56">
        <v>100.3312</v>
      </c>
      <c r="U41" s="56"/>
      <c r="V41" s="56"/>
      <c r="W41" s="56"/>
      <c r="X41" s="56"/>
      <c r="Y41" s="56"/>
      <c r="Z41" s="56"/>
      <c r="AA41" s="56"/>
      <c r="AB41" s="56" t="s">
        <v>479</v>
      </c>
      <c r="AC41" s="14" t="s">
        <v>399</v>
      </c>
      <c r="AD41" s="380" t="s">
        <v>222</v>
      </c>
      <c r="AE41" s="378"/>
      <c r="AF41" s="56"/>
      <c r="AG41" s="56"/>
    </row>
    <row r="42" s="10" customFormat="1" ht="24" spans="1:33">
      <c r="A42" s="348" t="s">
        <v>387</v>
      </c>
      <c r="B42" s="56">
        <v>4</v>
      </c>
      <c r="C42" s="56" t="s">
        <v>486</v>
      </c>
      <c r="D42" s="56" t="s">
        <v>301</v>
      </c>
      <c r="E42" s="56" t="s">
        <v>166</v>
      </c>
      <c r="F42" s="200" t="s">
        <v>409</v>
      </c>
      <c r="G42" s="347" t="s">
        <v>478</v>
      </c>
      <c r="H42" s="200">
        <v>20250707</v>
      </c>
      <c r="I42" s="56" t="s">
        <v>412</v>
      </c>
      <c r="J42" s="56" t="s">
        <v>432</v>
      </c>
      <c r="K42" s="56" t="s">
        <v>479</v>
      </c>
      <c r="L42" s="363">
        <v>45873</v>
      </c>
      <c r="M42" s="56" t="s">
        <v>483</v>
      </c>
      <c r="N42" s="200" t="s">
        <v>484</v>
      </c>
      <c r="O42" s="56" t="s">
        <v>397</v>
      </c>
      <c r="P42" s="200" t="s">
        <v>398</v>
      </c>
      <c r="Q42" s="56">
        <v>99.57</v>
      </c>
      <c r="R42" s="56">
        <v>1000</v>
      </c>
      <c r="S42" s="56" t="s">
        <v>218</v>
      </c>
      <c r="T42" s="56">
        <v>101.901</v>
      </c>
      <c r="U42" s="56"/>
      <c r="V42" s="56"/>
      <c r="W42" s="56"/>
      <c r="X42" s="56"/>
      <c r="Y42" s="56"/>
      <c r="Z42" s="56"/>
      <c r="AA42" s="56"/>
      <c r="AB42" s="56" t="s">
        <v>479</v>
      </c>
      <c r="AC42" s="372" t="s">
        <v>399</v>
      </c>
      <c r="AD42" s="378" t="s">
        <v>222</v>
      </c>
      <c r="AE42" s="378"/>
      <c r="AF42" s="56"/>
      <c r="AG42" s="56"/>
    </row>
    <row r="43" s="11" customFormat="1" ht="51.75" customHeight="1" spans="1:36">
      <c r="A43" s="56" t="s">
        <v>387</v>
      </c>
      <c r="B43" s="56">
        <v>5</v>
      </c>
      <c r="C43" s="56" t="s">
        <v>487</v>
      </c>
      <c r="D43" s="345" t="s">
        <v>302</v>
      </c>
      <c r="E43" s="56" t="s">
        <v>166</v>
      </c>
      <c r="F43" s="200" t="s">
        <v>426</v>
      </c>
      <c r="G43" s="347" t="s">
        <v>478</v>
      </c>
      <c r="H43" s="200">
        <v>20250708</v>
      </c>
      <c r="I43" s="345" t="s">
        <v>412</v>
      </c>
      <c r="J43" s="345" t="s">
        <v>393</v>
      </c>
      <c r="K43" s="56" t="s">
        <v>488</v>
      </c>
      <c r="L43" s="364">
        <v>45874</v>
      </c>
      <c r="M43" s="56" t="s">
        <v>483</v>
      </c>
      <c r="N43" s="200" t="s">
        <v>484</v>
      </c>
      <c r="O43" s="56" t="s">
        <v>397</v>
      </c>
      <c r="P43" s="200" t="s">
        <v>398</v>
      </c>
      <c r="Q43" s="56">
        <v>99</v>
      </c>
      <c r="R43" s="56">
        <v>1000</v>
      </c>
      <c r="S43" s="56" t="s">
        <v>218</v>
      </c>
      <c r="T43" s="56">
        <v>101.34</v>
      </c>
      <c r="U43" s="56"/>
      <c r="V43" s="56"/>
      <c r="W43" s="56"/>
      <c r="X43" s="56"/>
      <c r="Y43" s="56"/>
      <c r="Z43" s="56"/>
      <c r="AA43" s="56"/>
      <c r="AB43" s="56" t="s">
        <v>488</v>
      </c>
      <c r="AC43" s="372" t="s">
        <v>399</v>
      </c>
      <c r="AD43" s="378" t="s">
        <v>222</v>
      </c>
      <c r="AE43" s="378"/>
      <c r="AF43" s="56"/>
      <c r="AG43" s="56"/>
      <c r="AH43" s="10"/>
      <c r="AI43" s="10"/>
      <c r="AJ43" s="10"/>
    </row>
    <row r="44" s="10" customFormat="1" ht="24" spans="1:33">
      <c r="A44" s="348" t="s">
        <v>387</v>
      </c>
      <c r="B44" s="56">
        <v>6</v>
      </c>
      <c r="C44" s="56" t="s">
        <v>489</v>
      </c>
      <c r="D44" s="56" t="s">
        <v>303</v>
      </c>
      <c r="E44" s="56" t="s">
        <v>166</v>
      </c>
      <c r="F44" s="56" t="s">
        <v>436</v>
      </c>
      <c r="G44" s="347" t="s">
        <v>478</v>
      </c>
      <c r="H44" s="200">
        <v>20250708</v>
      </c>
      <c r="I44" s="56" t="s">
        <v>392</v>
      </c>
      <c r="J44" s="56" t="s">
        <v>393</v>
      </c>
      <c r="K44" s="56" t="s">
        <v>479</v>
      </c>
      <c r="L44" s="364">
        <v>45874</v>
      </c>
      <c r="M44" s="56" t="s">
        <v>480</v>
      </c>
      <c r="N44" s="200" t="s">
        <v>481</v>
      </c>
      <c r="O44" s="56" t="s">
        <v>397</v>
      </c>
      <c r="P44" s="200" t="s">
        <v>398</v>
      </c>
      <c r="Q44" s="56">
        <v>98</v>
      </c>
      <c r="R44" s="56">
        <v>1000</v>
      </c>
      <c r="S44" s="56" t="s">
        <v>218</v>
      </c>
      <c r="T44" s="56">
        <v>100.3404</v>
      </c>
      <c r="U44" s="56"/>
      <c r="V44" s="56"/>
      <c r="W44" s="56"/>
      <c r="X44" s="56"/>
      <c r="Y44" s="56"/>
      <c r="Z44" s="56"/>
      <c r="AA44" s="56"/>
      <c r="AB44" s="56" t="s">
        <v>479</v>
      </c>
      <c r="AC44" s="372" t="s">
        <v>399</v>
      </c>
      <c r="AD44" s="378" t="s">
        <v>222</v>
      </c>
      <c r="AE44" s="378"/>
      <c r="AF44" s="56"/>
      <c r="AG44" s="56"/>
    </row>
    <row r="45" s="12" customFormat="1" ht="24" spans="1:36">
      <c r="A45" s="348" t="s">
        <v>387</v>
      </c>
      <c r="B45" s="56">
        <v>7</v>
      </c>
      <c r="C45" s="348" t="s">
        <v>490</v>
      </c>
      <c r="D45" s="348" t="s">
        <v>304</v>
      </c>
      <c r="E45" s="56" t="s">
        <v>166</v>
      </c>
      <c r="F45" s="56" t="s">
        <v>436</v>
      </c>
      <c r="G45" s="347" t="s">
        <v>478</v>
      </c>
      <c r="H45" s="200">
        <v>20250708</v>
      </c>
      <c r="I45" s="56" t="s">
        <v>412</v>
      </c>
      <c r="J45" s="348" t="s">
        <v>393</v>
      </c>
      <c r="K45" s="56" t="s">
        <v>479</v>
      </c>
      <c r="L45" s="364">
        <v>45874</v>
      </c>
      <c r="M45" s="56" t="s">
        <v>483</v>
      </c>
      <c r="N45" s="200" t="s">
        <v>484</v>
      </c>
      <c r="O45" s="56" t="s">
        <v>397</v>
      </c>
      <c r="P45" s="211" t="s">
        <v>398</v>
      </c>
      <c r="Q45" s="348">
        <v>99</v>
      </c>
      <c r="R45" s="56">
        <v>3000</v>
      </c>
      <c r="S45" s="56" t="s">
        <v>218</v>
      </c>
      <c r="T45" s="348">
        <v>101.34</v>
      </c>
      <c r="U45" s="348"/>
      <c r="V45" s="348"/>
      <c r="W45" s="348"/>
      <c r="X45" s="348"/>
      <c r="Y45" s="348"/>
      <c r="Z45" s="348"/>
      <c r="AA45" s="348"/>
      <c r="AB45" s="56" t="s">
        <v>479</v>
      </c>
      <c r="AC45" s="372" t="s">
        <v>399</v>
      </c>
      <c r="AD45" s="378" t="s">
        <v>222</v>
      </c>
      <c r="AE45" s="378"/>
      <c r="AF45" s="56"/>
      <c r="AG45" s="56"/>
      <c r="AH45" s="10"/>
      <c r="AI45" s="10"/>
      <c r="AJ45" s="10"/>
    </row>
    <row r="46" s="10" customFormat="1" ht="24" spans="1:33">
      <c r="A46" s="224" t="s">
        <v>387</v>
      </c>
      <c r="B46" s="225">
        <v>1</v>
      </c>
      <c r="C46" s="225"/>
      <c r="D46" s="225" t="s">
        <v>305</v>
      </c>
      <c r="E46" s="225" t="s">
        <v>491</v>
      </c>
      <c r="F46" s="291" t="s">
        <v>401</v>
      </c>
      <c r="G46" s="354" t="s">
        <v>442</v>
      </c>
      <c r="H46" s="291"/>
      <c r="I46" s="365" t="s">
        <v>403</v>
      </c>
      <c r="J46" s="225" t="s">
        <v>404</v>
      </c>
      <c r="K46" s="225" t="s">
        <v>492</v>
      </c>
      <c r="L46" s="364">
        <v>45874</v>
      </c>
      <c r="M46" s="200" t="s">
        <v>445</v>
      </c>
      <c r="N46" s="200" t="s">
        <v>446</v>
      </c>
      <c r="O46" s="56" t="s">
        <v>397</v>
      </c>
      <c r="P46" s="200" t="s">
        <v>398</v>
      </c>
      <c r="Q46" s="56">
        <v>89</v>
      </c>
      <c r="R46" s="56">
        <v>3000</v>
      </c>
      <c r="S46" s="56" t="s">
        <v>218</v>
      </c>
      <c r="T46" s="56">
        <v>94.1466</v>
      </c>
      <c r="U46" s="56"/>
      <c r="V46" s="56"/>
      <c r="W46" s="56">
        <v>8</v>
      </c>
      <c r="X46" s="56">
        <v>4.5</v>
      </c>
      <c r="Y46" s="56" t="s">
        <v>445</v>
      </c>
      <c r="Z46" s="200" t="s">
        <v>446</v>
      </c>
      <c r="AA46" s="56"/>
      <c r="AB46" s="56" t="s">
        <v>444</v>
      </c>
      <c r="AC46" s="228" t="s">
        <v>399</v>
      </c>
      <c r="AD46" s="378" t="s">
        <v>222</v>
      </c>
      <c r="AE46" s="378"/>
      <c r="AF46" s="56"/>
      <c r="AG46" s="56"/>
    </row>
    <row r="47" s="10" customFormat="1" ht="24" spans="1:33">
      <c r="A47" s="224" t="s">
        <v>387</v>
      </c>
      <c r="B47" s="225">
        <v>2</v>
      </c>
      <c r="C47" s="225"/>
      <c r="D47" s="225" t="s">
        <v>310</v>
      </c>
      <c r="E47" s="225" t="s">
        <v>491</v>
      </c>
      <c r="F47" s="291" t="s">
        <v>467</v>
      </c>
      <c r="G47" s="354" t="s">
        <v>442</v>
      </c>
      <c r="H47" s="291"/>
      <c r="I47" s="365" t="s">
        <v>403</v>
      </c>
      <c r="J47" s="225" t="s">
        <v>471</v>
      </c>
      <c r="K47" s="225" t="s">
        <v>492</v>
      </c>
      <c r="L47" s="364">
        <v>45874</v>
      </c>
      <c r="M47" s="200" t="s">
        <v>445</v>
      </c>
      <c r="N47" s="200" t="s">
        <v>446</v>
      </c>
      <c r="O47" s="56" t="s">
        <v>397</v>
      </c>
      <c r="P47" s="200" t="s">
        <v>398</v>
      </c>
      <c r="Q47" s="56">
        <v>98.3456</v>
      </c>
      <c r="R47" s="56">
        <v>4000</v>
      </c>
      <c r="S47" s="56" t="s">
        <v>218</v>
      </c>
      <c r="T47" s="56">
        <v>103.4922</v>
      </c>
      <c r="U47" s="56">
        <v>100</v>
      </c>
      <c r="V47" s="56"/>
      <c r="W47" s="56">
        <v>4</v>
      </c>
      <c r="X47" s="56">
        <v>4.5556</v>
      </c>
      <c r="Y47" s="56" t="s">
        <v>445</v>
      </c>
      <c r="Z47" s="200" t="s">
        <v>446</v>
      </c>
      <c r="AA47" s="56"/>
      <c r="AB47" s="56" t="s">
        <v>444</v>
      </c>
      <c r="AC47" s="228" t="s">
        <v>399</v>
      </c>
      <c r="AD47" s="378" t="s">
        <v>222</v>
      </c>
      <c r="AE47" s="376"/>
      <c r="AF47" s="228"/>
      <c r="AG47" s="228"/>
    </row>
    <row r="48" s="10" customFormat="1" ht="24" spans="1:33">
      <c r="A48" s="224" t="s">
        <v>387</v>
      </c>
      <c r="B48" s="225">
        <v>3</v>
      </c>
      <c r="C48" s="225"/>
      <c r="D48" s="225" t="s">
        <v>311</v>
      </c>
      <c r="E48" s="225" t="s">
        <v>491</v>
      </c>
      <c r="F48" s="225" t="s">
        <v>436</v>
      </c>
      <c r="G48" s="354" t="s">
        <v>442</v>
      </c>
      <c r="H48" s="291"/>
      <c r="I48" s="365" t="s">
        <v>403</v>
      </c>
      <c r="J48" s="225" t="s">
        <v>404</v>
      </c>
      <c r="K48" s="225" t="s">
        <v>492</v>
      </c>
      <c r="L48" s="364">
        <v>45874</v>
      </c>
      <c r="M48" s="200" t="s">
        <v>445</v>
      </c>
      <c r="N48" s="200" t="s">
        <v>446</v>
      </c>
      <c r="O48" s="56" t="s">
        <v>397</v>
      </c>
      <c r="P48" s="200" t="s">
        <v>398</v>
      </c>
      <c r="Q48" s="56">
        <v>89</v>
      </c>
      <c r="R48" s="56">
        <v>3000</v>
      </c>
      <c r="S48" s="56" t="s">
        <v>218</v>
      </c>
      <c r="T48" s="56">
        <v>94.1466</v>
      </c>
      <c r="U48" s="56"/>
      <c r="V48" s="56"/>
      <c r="W48" s="56">
        <v>8</v>
      </c>
      <c r="X48" s="56">
        <v>4.5</v>
      </c>
      <c r="Y48" s="56" t="s">
        <v>445</v>
      </c>
      <c r="Z48" s="200" t="s">
        <v>446</v>
      </c>
      <c r="AA48" s="56"/>
      <c r="AB48" s="56" t="s">
        <v>444</v>
      </c>
      <c r="AC48" s="228" t="s">
        <v>399</v>
      </c>
      <c r="AD48" s="378" t="s">
        <v>222</v>
      </c>
      <c r="AE48" s="378"/>
      <c r="AF48" s="56"/>
      <c r="AG48" s="56"/>
    </row>
    <row r="49" s="10" customFormat="1" ht="24" spans="1:33">
      <c r="A49" s="224" t="s">
        <v>387</v>
      </c>
      <c r="B49" s="225">
        <v>4</v>
      </c>
      <c r="C49" s="225"/>
      <c r="D49" s="225" t="s">
        <v>307</v>
      </c>
      <c r="E49" s="225" t="s">
        <v>491</v>
      </c>
      <c r="F49" s="291" t="s">
        <v>401</v>
      </c>
      <c r="G49" s="354" t="s">
        <v>442</v>
      </c>
      <c r="H49" s="291"/>
      <c r="I49" s="365" t="s">
        <v>493</v>
      </c>
      <c r="J49" s="225" t="s">
        <v>404</v>
      </c>
      <c r="K49" s="225" t="s">
        <v>492</v>
      </c>
      <c r="L49" s="364">
        <v>45874</v>
      </c>
      <c r="M49" s="200" t="s">
        <v>445</v>
      </c>
      <c r="N49" s="200" t="s">
        <v>446</v>
      </c>
      <c r="O49" s="56" t="s">
        <v>397</v>
      </c>
      <c r="P49" s="200" t="s">
        <v>398</v>
      </c>
      <c r="Q49" s="56">
        <v>89</v>
      </c>
      <c r="R49" s="56">
        <v>3000</v>
      </c>
      <c r="S49" s="56" t="s">
        <v>218</v>
      </c>
      <c r="T49" s="56">
        <v>94.1466</v>
      </c>
      <c r="U49" s="56"/>
      <c r="V49" s="56"/>
      <c r="W49" s="56">
        <v>8</v>
      </c>
      <c r="X49" s="56">
        <v>4.5</v>
      </c>
      <c r="Y49" s="56" t="s">
        <v>445</v>
      </c>
      <c r="Z49" s="200" t="s">
        <v>446</v>
      </c>
      <c r="AA49" s="56"/>
      <c r="AB49" s="56" t="s">
        <v>444</v>
      </c>
      <c r="AC49" s="228" t="s">
        <v>399</v>
      </c>
      <c r="AD49" s="378" t="s">
        <v>222</v>
      </c>
      <c r="AE49" s="378"/>
      <c r="AF49" s="56"/>
      <c r="AG49" s="56"/>
    </row>
    <row r="50" s="10" customFormat="1" ht="24" spans="1:33">
      <c r="A50" s="224" t="s">
        <v>387</v>
      </c>
      <c r="B50" s="225">
        <v>5</v>
      </c>
      <c r="C50" s="225"/>
      <c r="D50" s="225" t="s">
        <v>312</v>
      </c>
      <c r="E50" s="225" t="s">
        <v>491</v>
      </c>
      <c r="F50" s="291" t="s">
        <v>467</v>
      </c>
      <c r="G50" s="354" t="s">
        <v>442</v>
      </c>
      <c r="H50" s="291"/>
      <c r="I50" s="365" t="s">
        <v>493</v>
      </c>
      <c r="J50" s="225" t="s">
        <v>471</v>
      </c>
      <c r="K50" s="225" t="s">
        <v>492</v>
      </c>
      <c r="L50" s="364">
        <v>45874</v>
      </c>
      <c r="M50" s="200" t="s">
        <v>445</v>
      </c>
      <c r="N50" s="200" t="s">
        <v>446</v>
      </c>
      <c r="O50" s="56" t="s">
        <v>397</v>
      </c>
      <c r="P50" s="200" t="s">
        <v>398</v>
      </c>
      <c r="Q50" s="56">
        <v>89</v>
      </c>
      <c r="R50" s="56">
        <v>3000</v>
      </c>
      <c r="S50" s="56" t="s">
        <v>218</v>
      </c>
      <c r="T50" s="56">
        <v>94.1466</v>
      </c>
      <c r="U50" s="56"/>
      <c r="V50" s="56"/>
      <c r="W50" s="56">
        <v>8</v>
      </c>
      <c r="X50" s="56">
        <v>4.5</v>
      </c>
      <c r="Y50" s="56" t="s">
        <v>445</v>
      </c>
      <c r="Z50" s="200" t="s">
        <v>446</v>
      </c>
      <c r="AA50" s="56"/>
      <c r="AB50" s="56" t="s">
        <v>444</v>
      </c>
      <c r="AC50" s="228" t="s">
        <v>399</v>
      </c>
      <c r="AD50" s="378" t="s">
        <v>222</v>
      </c>
      <c r="AE50" s="378"/>
      <c r="AF50" s="56"/>
      <c r="AG50" s="56"/>
    </row>
    <row r="51" s="10" customFormat="1" ht="24" spans="1:33">
      <c r="A51" s="224" t="s">
        <v>387</v>
      </c>
      <c r="B51" s="225">
        <v>6</v>
      </c>
      <c r="C51" s="225"/>
      <c r="D51" s="225" t="s">
        <v>313</v>
      </c>
      <c r="E51" s="225" t="s">
        <v>491</v>
      </c>
      <c r="F51" s="225" t="s">
        <v>436</v>
      </c>
      <c r="G51" s="354" t="s">
        <v>442</v>
      </c>
      <c r="H51" s="291"/>
      <c r="I51" s="365" t="s">
        <v>493</v>
      </c>
      <c r="J51" s="225" t="s">
        <v>404</v>
      </c>
      <c r="K51" s="225" t="s">
        <v>492</v>
      </c>
      <c r="L51" s="364">
        <v>45874</v>
      </c>
      <c r="M51" s="200" t="s">
        <v>445</v>
      </c>
      <c r="N51" s="200" t="s">
        <v>446</v>
      </c>
      <c r="O51" s="56" t="s">
        <v>397</v>
      </c>
      <c r="P51" s="200" t="s">
        <v>398</v>
      </c>
      <c r="Q51" s="56">
        <v>89</v>
      </c>
      <c r="R51" s="56">
        <v>3000</v>
      </c>
      <c r="S51" s="56" t="s">
        <v>218</v>
      </c>
      <c r="T51" s="56">
        <v>94.1466</v>
      </c>
      <c r="U51" s="56"/>
      <c r="V51" s="56"/>
      <c r="W51" s="56">
        <v>8</v>
      </c>
      <c r="X51" s="56">
        <v>4.5</v>
      </c>
      <c r="Y51" s="56" t="s">
        <v>445</v>
      </c>
      <c r="Z51" s="200" t="s">
        <v>446</v>
      </c>
      <c r="AA51" s="56"/>
      <c r="AB51" s="56" t="s">
        <v>444</v>
      </c>
      <c r="AC51" s="228" t="s">
        <v>399</v>
      </c>
      <c r="AD51" s="378" t="s">
        <v>222</v>
      </c>
      <c r="AE51" s="378"/>
      <c r="AF51" s="56"/>
      <c r="AG51" s="56"/>
    </row>
    <row r="52" s="10" customFormat="1" ht="24" spans="1:33">
      <c r="A52" s="224" t="s">
        <v>387</v>
      </c>
      <c r="B52" s="225">
        <v>7</v>
      </c>
      <c r="C52" s="225"/>
      <c r="D52" s="225" t="s">
        <v>309</v>
      </c>
      <c r="E52" s="225" t="s">
        <v>491</v>
      </c>
      <c r="F52" s="291" t="s">
        <v>401</v>
      </c>
      <c r="G52" s="354" t="s">
        <v>442</v>
      </c>
      <c r="H52" s="291"/>
      <c r="I52" s="365" t="s">
        <v>458</v>
      </c>
      <c r="J52" s="225" t="s">
        <v>404</v>
      </c>
      <c r="K52" s="225" t="s">
        <v>492</v>
      </c>
      <c r="L52" s="364">
        <v>45874</v>
      </c>
      <c r="M52" s="56" t="s">
        <v>451</v>
      </c>
      <c r="N52" s="200" t="s">
        <v>452</v>
      </c>
      <c r="O52" s="56" t="s">
        <v>397</v>
      </c>
      <c r="P52" s="200" t="s">
        <v>398</v>
      </c>
      <c r="Q52" s="56"/>
      <c r="R52" s="56">
        <v>1000</v>
      </c>
      <c r="S52" s="56"/>
      <c r="T52" s="56"/>
      <c r="U52" s="56"/>
      <c r="V52" s="56"/>
      <c r="W52" s="56">
        <v>4</v>
      </c>
      <c r="X52" s="56">
        <v>4.623</v>
      </c>
      <c r="Y52" s="56" t="s">
        <v>451</v>
      </c>
      <c r="Z52" s="200" t="s">
        <v>452</v>
      </c>
      <c r="AA52" s="56">
        <v>10000000</v>
      </c>
      <c r="AB52" s="56" t="s">
        <v>444</v>
      </c>
      <c r="AC52" s="228" t="s">
        <v>399</v>
      </c>
      <c r="AD52" s="378" t="s">
        <v>222</v>
      </c>
      <c r="AE52" s="376"/>
      <c r="AF52" s="228"/>
      <c r="AG52" s="228"/>
    </row>
    <row r="53" s="10" customFormat="1" ht="24" spans="1:33">
      <c r="A53" s="224" t="s">
        <v>387</v>
      </c>
      <c r="B53" s="225">
        <v>8</v>
      </c>
      <c r="C53" s="225"/>
      <c r="D53" s="225" t="s">
        <v>314</v>
      </c>
      <c r="E53" s="225" t="s">
        <v>491</v>
      </c>
      <c r="F53" s="291" t="s">
        <v>467</v>
      </c>
      <c r="G53" s="354" t="s">
        <v>442</v>
      </c>
      <c r="H53" s="291"/>
      <c r="I53" s="365" t="s">
        <v>458</v>
      </c>
      <c r="J53" s="225" t="s">
        <v>471</v>
      </c>
      <c r="K53" s="225" t="s">
        <v>492</v>
      </c>
      <c r="L53" s="364">
        <v>45874</v>
      </c>
      <c r="M53" s="56" t="s">
        <v>451</v>
      </c>
      <c r="N53" s="200" t="s">
        <v>452</v>
      </c>
      <c r="O53" s="56" t="s">
        <v>397</v>
      </c>
      <c r="P53" s="200" t="s">
        <v>398</v>
      </c>
      <c r="Q53" s="56"/>
      <c r="R53" s="56">
        <v>1000</v>
      </c>
      <c r="S53" s="56"/>
      <c r="T53" s="56"/>
      <c r="U53" s="56"/>
      <c r="V53" s="56"/>
      <c r="W53" s="56">
        <v>4</v>
      </c>
      <c r="X53" s="56">
        <v>4.623</v>
      </c>
      <c r="Y53" s="56" t="s">
        <v>451</v>
      </c>
      <c r="Z53" s="200" t="s">
        <v>452</v>
      </c>
      <c r="AA53" s="56">
        <v>10000000</v>
      </c>
      <c r="AB53" s="56" t="s">
        <v>444</v>
      </c>
      <c r="AC53" s="228" t="s">
        <v>399</v>
      </c>
      <c r="AD53" s="378" t="s">
        <v>222</v>
      </c>
      <c r="AE53" s="376"/>
      <c r="AF53" s="228"/>
      <c r="AG53" s="228"/>
    </row>
    <row r="54" s="10" customFormat="1" ht="24" spans="1:33">
      <c r="A54" s="224" t="s">
        <v>387</v>
      </c>
      <c r="B54" s="225">
        <v>9</v>
      </c>
      <c r="C54" s="225"/>
      <c r="D54" s="225" t="s">
        <v>315</v>
      </c>
      <c r="E54" s="225" t="s">
        <v>491</v>
      </c>
      <c r="F54" s="225" t="s">
        <v>436</v>
      </c>
      <c r="G54" s="354" t="s">
        <v>442</v>
      </c>
      <c r="H54" s="291"/>
      <c r="I54" s="365" t="s">
        <v>458</v>
      </c>
      <c r="J54" s="225" t="s">
        <v>404</v>
      </c>
      <c r="K54" s="225" t="s">
        <v>492</v>
      </c>
      <c r="L54" s="364">
        <v>45874</v>
      </c>
      <c r="M54" s="56" t="s">
        <v>451</v>
      </c>
      <c r="N54" s="200" t="s">
        <v>452</v>
      </c>
      <c r="O54" s="56" t="s">
        <v>397</v>
      </c>
      <c r="P54" s="200" t="s">
        <v>398</v>
      </c>
      <c r="Q54" s="56"/>
      <c r="R54" s="56">
        <v>1000</v>
      </c>
      <c r="S54" s="56"/>
      <c r="T54" s="56"/>
      <c r="U54" s="56"/>
      <c r="V54" s="56"/>
      <c r="W54" s="56">
        <v>4</v>
      </c>
      <c r="X54" s="56">
        <v>4.623</v>
      </c>
      <c r="Y54" s="56" t="s">
        <v>451</v>
      </c>
      <c r="Z54" s="200" t="s">
        <v>452</v>
      </c>
      <c r="AA54" s="56">
        <v>10000000</v>
      </c>
      <c r="AB54" s="56" t="s">
        <v>444</v>
      </c>
      <c r="AC54" s="228" t="s">
        <v>399</v>
      </c>
      <c r="AD54" s="378" t="s">
        <v>222</v>
      </c>
      <c r="AE54" s="376"/>
      <c r="AF54" s="228"/>
      <c r="AG54" s="228"/>
    </row>
    <row r="55" s="10" customFormat="1" ht="72" spans="1:33">
      <c r="A55" s="348">
        <v>7</v>
      </c>
      <c r="B55" s="56">
        <v>1</v>
      </c>
      <c r="C55" s="57" t="s">
        <v>477</v>
      </c>
      <c r="D55" s="57" t="s">
        <v>326</v>
      </c>
      <c r="E55" s="57" t="s">
        <v>327</v>
      </c>
      <c r="F55" s="58" t="s">
        <v>494</v>
      </c>
      <c r="G55" s="59" t="s">
        <v>495</v>
      </c>
      <c r="H55" s="58" t="s">
        <v>496</v>
      </c>
      <c r="I55" s="57" t="s">
        <v>392</v>
      </c>
      <c r="J55" s="57" t="s">
        <v>393</v>
      </c>
      <c r="K55" s="57" t="s">
        <v>497</v>
      </c>
      <c r="L55" s="366">
        <v>45873</v>
      </c>
      <c r="M55" s="57" t="s">
        <v>498</v>
      </c>
      <c r="N55" s="57" t="s">
        <v>499</v>
      </c>
      <c r="O55" s="57" t="s">
        <v>397</v>
      </c>
      <c r="P55" s="57" t="s">
        <v>398</v>
      </c>
      <c r="Q55" s="57">
        <v>99</v>
      </c>
      <c r="R55" s="57">
        <v>1000</v>
      </c>
      <c r="S55" s="57" t="s">
        <v>218</v>
      </c>
      <c r="T55" s="57">
        <v>100.3312</v>
      </c>
      <c r="U55" s="57"/>
      <c r="V55" s="57"/>
      <c r="W55" s="57"/>
      <c r="X55" s="57"/>
      <c r="Y55" s="57"/>
      <c r="Z55" s="57"/>
      <c r="AA55" s="228"/>
      <c r="AB55" s="57" t="s">
        <v>497</v>
      </c>
      <c r="AC55" s="373" t="s">
        <v>399</v>
      </c>
      <c r="AD55" s="57" t="s">
        <v>222</v>
      </c>
      <c r="AE55" s="376"/>
      <c r="AF55" s="228"/>
      <c r="AG55" s="228"/>
    </row>
    <row r="56" s="10" customFormat="1" ht="36" spans="1:33">
      <c r="A56" s="348">
        <v>7</v>
      </c>
      <c r="B56" s="56">
        <v>2</v>
      </c>
      <c r="C56" s="57" t="s">
        <v>482</v>
      </c>
      <c r="D56" s="57" t="s">
        <v>328</v>
      </c>
      <c r="E56" s="57" t="s">
        <v>327</v>
      </c>
      <c r="F56" s="58" t="s">
        <v>500</v>
      </c>
      <c r="G56" s="59" t="s">
        <v>495</v>
      </c>
      <c r="H56" s="58"/>
      <c r="I56" s="57" t="s">
        <v>412</v>
      </c>
      <c r="J56" s="57" t="s">
        <v>393</v>
      </c>
      <c r="K56" s="57" t="s">
        <v>497</v>
      </c>
      <c r="L56" s="366">
        <v>45873</v>
      </c>
      <c r="M56" s="57" t="s">
        <v>501</v>
      </c>
      <c r="N56" s="58" t="s">
        <v>502</v>
      </c>
      <c r="O56" s="57" t="s">
        <v>397</v>
      </c>
      <c r="P56" s="57" t="s">
        <v>398</v>
      </c>
      <c r="Q56" s="57">
        <v>99</v>
      </c>
      <c r="R56" s="57">
        <v>5000</v>
      </c>
      <c r="S56" s="57" t="s">
        <v>218</v>
      </c>
      <c r="T56" s="57">
        <v>101.331</v>
      </c>
      <c r="U56" s="57"/>
      <c r="V56" s="57"/>
      <c r="W56" s="57"/>
      <c r="X56" s="57"/>
      <c r="Y56" s="57"/>
      <c r="Z56" s="57"/>
      <c r="AA56" s="228"/>
      <c r="AB56" s="57" t="s">
        <v>497</v>
      </c>
      <c r="AC56" s="373" t="s">
        <v>399</v>
      </c>
      <c r="AD56" s="57" t="s">
        <v>222</v>
      </c>
      <c r="AE56" s="376"/>
      <c r="AF56" s="228"/>
      <c r="AG56" s="228"/>
    </row>
    <row r="57" s="10" customFormat="1" ht="27.75" customHeight="1" spans="1:33">
      <c r="A57" s="348">
        <v>8</v>
      </c>
      <c r="B57" s="56">
        <v>1</v>
      </c>
      <c r="C57" s="57" t="s">
        <v>477</v>
      </c>
      <c r="D57" s="57" t="s">
        <v>503</v>
      </c>
      <c r="E57" s="57" t="s">
        <v>329</v>
      </c>
      <c r="F57" s="58" t="s">
        <v>504</v>
      </c>
      <c r="G57" s="59" t="s">
        <v>495</v>
      </c>
      <c r="H57" s="58"/>
      <c r="I57" s="57" t="s">
        <v>392</v>
      </c>
      <c r="J57" s="57" t="s">
        <v>393</v>
      </c>
      <c r="K57" s="57" t="s">
        <v>505</v>
      </c>
      <c r="L57" s="366">
        <v>45911</v>
      </c>
      <c r="M57" s="57" t="s">
        <v>498</v>
      </c>
      <c r="N57" s="57" t="s">
        <v>499</v>
      </c>
      <c r="O57" s="57" t="s">
        <v>397</v>
      </c>
      <c r="P57" s="57" t="s">
        <v>398</v>
      </c>
      <c r="Q57" s="57">
        <v>110</v>
      </c>
      <c r="R57" s="57">
        <v>1000</v>
      </c>
      <c r="S57" s="57" t="s">
        <v>231</v>
      </c>
      <c r="T57" s="57">
        <v>100.3312</v>
      </c>
      <c r="U57" s="369"/>
      <c r="V57" s="57"/>
      <c r="W57" s="57"/>
      <c r="X57" s="57"/>
      <c r="Y57" s="57"/>
      <c r="Z57" s="57"/>
      <c r="AA57" s="57"/>
      <c r="AB57" s="57" t="s">
        <v>505</v>
      </c>
      <c r="AC57" s="247" t="s">
        <v>399</v>
      </c>
      <c r="AD57" s="57" t="s">
        <v>222</v>
      </c>
      <c r="AE57" s="376"/>
      <c r="AF57" s="228"/>
      <c r="AG57" s="228"/>
    </row>
    <row r="58" s="10" customFormat="1" ht="27.75" customHeight="1" spans="1:33">
      <c r="A58" s="348">
        <v>8</v>
      </c>
      <c r="B58" s="56">
        <v>2</v>
      </c>
      <c r="C58" s="57" t="s">
        <v>482</v>
      </c>
      <c r="D58" s="57" t="s">
        <v>506</v>
      </c>
      <c r="E58" s="57" t="s">
        <v>329</v>
      </c>
      <c r="F58" s="58" t="s">
        <v>507</v>
      </c>
      <c r="G58" s="59" t="s">
        <v>495</v>
      </c>
      <c r="H58" s="58"/>
      <c r="I58" s="57" t="s">
        <v>412</v>
      </c>
      <c r="J58" s="57" t="s">
        <v>393</v>
      </c>
      <c r="K58" s="57" t="s">
        <v>505</v>
      </c>
      <c r="L58" s="366">
        <v>45911</v>
      </c>
      <c r="M58" s="57" t="s">
        <v>501</v>
      </c>
      <c r="N58" s="58" t="s">
        <v>502</v>
      </c>
      <c r="O58" s="57" t="s">
        <v>397</v>
      </c>
      <c r="P58" s="57" t="s">
        <v>398</v>
      </c>
      <c r="Q58" s="57">
        <v>99</v>
      </c>
      <c r="R58" s="57">
        <v>5000</v>
      </c>
      <c r="S58" s="57" t="s">
        <v>508</v>
      </c>
      <c r="T58" s="57">
        <v>101.331</v>
      </c>
      <c r="U58" s="369"/>
      <c r="V58" s="57"/>
      <c r="W58" s="57"/>
      <c r="X58" s="57"/>
      <c r="Y58" s="57"/>
      <c r="Z58" s="57"/>
      <c r="AA58" s="57"/>
      <c r="AB58" s="57" t="s">
        <v>505</v>
      </c>
      <c r="AC58" s="247" t="s">
        <v>399</v>
      </c>
      <c r="AD58" s="57" t="s">
        <v>222</v>
      </c>
      <c r="AE58" s="376"/>
      <c r="AF58" s="228"/>
      <c r="AG58" s="228"/>
    </row>
    <row r="59" s="10" customFormat="1" ht="24" spans="1:33">
      <c r="A59" s="348">
        <v>8</v>
      </c>
      <c r="B59" s="56">
        <v>3</v>
      </c>
      <c r="C59" s="57"/>
      <c r="D59" s="57" t="s">
        <v>509</v>
      </c>
      <c r="E59" s="57" t="s">
        <v>329</v>
      </c>
      <c r="F59" s="58" t="s">
        <v>510</v>
      </c>
      <c r="G59" s="59" t="s">
        <v>495</v>
      </c>
      <c r="H59" s="58"/>
      <c r="I59" s="57" t="s">
        <v>392</v>
      </c>
      <c r="J59" s="57" t="s">
        <v>393</v>
      </c>
      <c r="K59" s="57" t="s">
        <v>497</v>
      </c>
      <c r="L59" s="367">
        <v>45873</v>
      </c>
      <c r="M59" s="57" t="s">
        <v>498</v>
      </c>
      <c r="N59" s="57" t="s">
        <v>499</v>
      </c>
      <c r="O59" s="57" t="s">
        <v>397</v>
      </c>
      <c r="P59" s="57" t="s">
        <v>398</v>
      </c>
      <c r="Q59" s="57">
        <v>109</v>
      </c>
      <c r="R59" s="57">
        <v>1000</v>
      </c>
      <c r="S59" s="57" t="s">
        <v>218</v>
      </c>
      <c r="T59" s="57">
        <v>100.3312</v>
      </c>
      <c r="U59" s="57"/>
      <c r="V59" s="57"/>
      <c r="W59" s="57"/>
      <c r="X59" s="57"/>
      <c r="Y59" s="57"/>
      <c r="Z59" s="57"/>
      <c r="AA59" s="228"/>
      <c r="AB59" s="57" t="s">
        <v>497</v>
      </c>
      <c r="AC59" s="373" t="s">
        <v>399</v>
      </c>
      <c r="AD59" s="57" t="s">
        <v>222</v>
      </c>
      <c r="AE59" s="376"/>
      <c r="AF59" s="228"/>
      <c r="AG59" s="228"/>
    </row>
    <row r="60" s="10" customFormat="1" ht="24" spans="1:33">
      <c r="A60" s="348">
        <v>8</v>
      </c>
      <c r="B60" s="56">
        <v>4</v>
      </c>
      <c r="C60" s="57"/>
      <c r="D60" s="57" t="s">
        <v>511</v>
      </c>
      <c r="E60" s="57" t="s">
        <v>329</v>
      </c>
      <c r="F60" s="58" t="s">
        <v>512</v>
      </c>
      <c r="G60" s="59" t="s">
        <v>495</v>
      </c>
      <c r="H60" s="58"/>
      <c r="I60" s="57" t="s">
        <v>412</v>
      </c>
      <c r="J60" s="57" t="s">
        <v>393</v>
      </c>
      <c r="K60" s="57" t="s">
        <v>497</v>
      </c>
      <c r="L60" s="367">
        <v>45873</v>
      </c>
      <c r="M60" s="57" t="s">
        <v>501</v>
      </c>
      <c r="N60" s="58" t="s">
        <v>502</v>
      </c>
      <c r="O60" s="57" t="s">
        <v>397</v>
      </c>
      <c r="P60" s="57" t="s">
        <v>398</v>
      </c>
      <c r="Q60" s="57">
        <v>150</v>
      </c>
      <c r="R60" s="57">
        <v>5000</v>
      </c>
      <c r="S60" s="57" t="s">
        <v>218</v>
      </c>
      <c r="T60" s="57">
        <v>101.331</v>
      </c>
      <c r="U60" s="57"/>
      <c r="V60" s="57"/>
      <c r="W60" s="57"/>
      <c r="X60" s="57"/>
      <c r="Y60" s="57"/>
      <c r="Z60" s="57"/>
      <c r="AA60" s="228"/>
      <c r="AB60" s="57" t="s">
        <v>497</v>
      </c>
      <c r="AC60" s="373" t="s">
        <v>399</v>
      </c>
      <c r="AD60" s="57" t="s">
        <v>222</v>
      </c>
      <c r="AE60" s="376"/>
      <c r="AF60" s="228"/>
      <c r="AG60" s="228"/>
    </row>
    <row r="61" s="10" customFormat="1" ht="60" spans="1:33">
      <c r="A61" s="348">
        <v>9</v>
      </c>
      <c r="B61" s="56">
        <v>1</v>
      </c>
      <c r="C61" s="57"/>
      <c r="D61" s="57" t="s">
        <v>330</v>
      </c>
      <c r="E61" s="57" t="s">
        <v>331</v>
      </c>
      <c r="F61" s="58" t="s">
        <v>513</v>
      </c>
      <c r="G61" s="59" t="s">
        <v>495</v>
      </c>
      <c r="H61" s="58"/>
      <c r="I61" s="57" t="s">
        <v>392</v>
      </c>
      <c r="J61" s="57" t="s">
        <v>393</v>
      </c>
      <c r="K61" s="57" t="s">
        <v>514</v>
      </c>
      <c r="L61" s="366">
        <v>45911</v>
      </c>
      <c r="M61" s="57" t="s">
        <v>498</v>
      </c>
      <c r="N61" s="57" t="s">
        <v>499</v>
      </c>
      <c r="O61" s="57" t="s">
        <v>397</v>
      </c>
      <c r="P61" s="57" t="s">
        <v>398</v>
      </c>
      <c r="Q61" s="57">
        <v>98</v>
      </c>
      <c r="R61" s="57">
        <v>1000</v>
      </c>
      <c r="S61" s="57" t="s">
        <v>218</v>
      </c>
      <c r="T61" s="57">
        <v>100.3312</v>
      </c>
      <c r="U61" s="57"/>
      <c r="V61" s="57"/>
      <c r="W61" s="57"/>
      <c r="X61" s="57"/>
      <c r="Y61" s="57"/>
      <c r="Z61" s="57"/>
      <c r="AA61" s="228"/>
      <c r="AB61" s="57" t="s">
        <v>514</v>
      </c>
      <c r="AC61" s="373" t="s">
        <v>399</v>
      </c>
      <c r="AD61" s="57" t="s">
        <v>222</v>
      </c>
      <c r="AE61" s="376"/>
      <c r="AF61" s="228"/>
      <c r="AG61" s="228"/>
    </row>
    <row r="62" s="10" customFormat="1" ht="136.5" customHeight="1" spans="1:33">
      <c r="A62" s="348">
        <v>9</v>
      </c>
      <c r="B62" s="56">
        <v>2</v>
      </c>
      <c r="C62" s="57"/>
      <c r="D62" s="57" t="s">
        <v>332</v>
      </c>
      <c r="E62" s="57" t="s">
        <v>331</v>
      </c>
      <c r="F62" s="58" t="s">
        <v>515</v>
      </c>
      <c r="G62" s="59" t="s">
        <v>495</v>
      </c>
      <c r="H62" s="58" t="s">
        <v>516</v>
      </c>
      <c r="I62" s="57" t="s">
        <v>412</v>
      </c>
      <c r="J62" s="57" t="s">
        <v>393</v>
      </c>
      <c r="K62" s="57" t="s">
        <v>514</v>
      </c>
      <c r="L62" s="366">
        <v>45911</v>
      </c>
      <c r="M62" s="57" t="s">
        <v>501</v>
      </c>
      <c r="N62" s="58" t="s">
        <v>502</v>
      </c>
      <c r="O62" s="57" t="s">
        <v>397</v>
      </c>
      <c r="P62" s="57" t="s">
        <v>398</v>
      </c>
      <c r="Q62" s="57">
        <v>99</v>
      </c>
      <c r="R62" s="57">
        <v>5000</v>
      </c>
      <c r="S62" s="57" t="s">
        <v>218</v>
      </c>
      <c r="T62" s="57">
        <v>101.331</v>
      </c>
      <c r="U62" s="57"/>
      <c r="V62" s="57"/>
      <c r="W62" s="57"/>
      <c r="X62" s="57"/>
      <c r="Y62" s="57"/>
      <c r="Z62" s="57"/>
      <c r="AA62" s="228"/>
      <c r="AB62" s="57" t="s">
        <v>514</v>
      </c>
      <c r="AC62" s="373" t="s">
        <v>399</v>
      </c>
      <c r="AD62" s="57" t="s">
        <v>222</v>
      </c>
      <c r="AE62" s="376"/>
      <c r="AF62" s="228"/>
      <c r="AG62" s="228"/>
    </row>
    <row r="63" s="10" customFormat="1" ht="24" spans="1:33">
      <c r="A63" s="348">
        <v>9</v>
      </c>
      <c r="B63" s="56">
        <v>3</v>
      </c>
      <c r="C63" s="57"/>
      <c r="D63" s="57" t="s">
        <v>333</v>
      </c>
      <c r="E63" s="57" t="s">
        <v>331</v>
      </c>
      <c r="F63" s="58" t="s">
        <v>517</v>
      </c>
      <c r="G63" s="59" t="s">
        <v>495</v>
      </c>
      <c r="H63" s="58"/>
      <c r="I63" s="57" t="s">
        <v>416</v>
      </c>
      <c r="J63" s="57" t="s">
        <v>393</v>
      </c>
      <c r="K63" s="57" t="s">
        <v>514</v>
      </c>
      <c r="L63" s="366">
        <v>45911</v>
      </c>
      <c r="M63" s="57" t="s">
        <v>483</v>
      </c>
      <c r="N63" s="58" t="s">
        <v>484</v>
      </c>
      <c r="O63" s="57" t="s">
        <v>397</v>
      </c>
      <c r="P63" s="57" t="s">
        <v>398</v>
      </c>
      <c r="Q63" s="57">
        <v>99</v>
      </c>
      <c r="R63" s="57">
        <v>5000</v>
      </c>
      <c r="S63" s="57" t="s">
        <v>218</v>
      </c>
      <c r="T63" s="57">
        <v>101.331</v>
      </c>
      <c r="U63" s="57"/>
      <c r="V63" s="57"/>
      <c r="W63" s="57"/>
      <c r="X63" s="57"/>
      <c r="Y63" s="57"/>
      <c r="Z63" s="57"/>
      <c r="AA63" s="228"/>
      <c r="AB63" s="57" t="s">
        <v>514</v>
      </c>
      <c r="AC63" s="373" t="s">
        <v>399</v>
      </c>
      <c r="AD63" s="57" t="s">
        <v>222</v>
      </c>
      <c r="AE63" s="376"/>
      <c r="AF63" s="228"/>
      <c r="AG63" s="228"/>
    </row>
    <row r="64" s="10" customFormat="1" ht="72" spans="1:33">
      <c r="A64" s="348">
        <v>10</v>
      </c>
      <c r="B64" s="56">
        <v>1</v>
      </c>
      <c r="C64" s="57" t="s">
        <v>477</v>
      </c>
      <c r="D64" s="57" t="s">
        <v>334</v>
      </c>
      <c r="E64" s="57" t="s">
        <v>335</v>
      </c>
      <c r="F64" s="58" t="s">
        <v>518</v>
      </c>
      <c r="G64" s="59" t="s">
        <v>495</v>
      </c>
      <c r="H64" s="58"/>
      <c r="I64" s="57" t="s">
        <v>392</v>
      </c>
      <c r="J64" s="57" t="s">
        <v>393</v>
      </c>
      <c r="K64" s="57" t="s">
        <v>519</v>
      </c>
      <c r="L64" s="367">
        <v>45911</v>
      </c>
      <c r="M64" s="57" t="s">
        <v>498</v>
      </c>
      <c r="N64" s="57" t="s">
        <v>499</v>
      </c>
      <c r="O64" s="57" t="s">
        <v>397</v>
      </c>
      <c r="P64" s="57" t="s">
        <v>398</v>
      </c>
      <c r="Q64" s="57">
        <v>98</v>
      </c>
      <c r="R64" s="57">
        <v>1000</v>
      </c>
      <c r="S64" s="57" t="s">
        <v>218</v>
      </c>
      <c r="T64" s="57">
        <v>100.3312</v>
      </c>
      <c r="U64" s="57"/>
      <c r="V64" s="57"/>
      <c r="W64" s="57"/>
      <c r="X64" s="57"/>
      <c r="Y64" s="57"/>
      <c r="Z64" s="57"/>
      <c r="AA64" s="228"/>
      <c r="AB64" s="57" t="s">
        <v>519</v>
      </c>
      <c r="AC64" s="373" t="s">
        <v>399</v>
      </c>
      <c r="AD64" s="57" t="s">
        <v>222</v>
      </c>
      <c r="AE64" s="376"/>
      <c r="AF64" s="228"/>
      <c r="AG64" s="228"/>
    </row>
    <row r="65" s="10" customFormat="1" ht="48" spans="1:33">
      <c r="A65" s="348">
        <v>10</v>
      </c>
      <c r="B65" s="56">
        <v>2</v>
      </c>
      <c r="C65" s="57" t="s">
        <v>482</v>
      </c>
      <c r="D65" s="57" t="s">
        <v>336</v>
      </c>
      <c r="E65" s="57" t="s">
        <v>335</v>
      </c>
      <c r="F65" s="58" t="s">
        <v>520</v>
      </c>
      <c r="G65" s="59" t="s">
        <v>495</v>
      </c>
      <c r="H65" s="58"/>
      <c r="I65" s="57" t="s">
        <v>412</v>
      </c>
      <c r="J65" s="57" t="s">
        <v>393</v>
      </c>
      <c r="K65" s="57" t="s">
        <v>519</v>
      </c>
      <c r="L65" s="367">
        <v>45910</v>
      </c>
      <c r="M65" s="57" t="s">
        <v>501</v>
      </c>
      <c r="N65" s="58" t="s">
        <v>502</v>
      </c>
      <c r="O65" s="57" t="s">
        <v>397</v>
      </c>
      <c r="P65" s="57" t="s">
        <v>398</v>
      </c>
      <c r="Q65" s="57">
        <v>112</v>
      </c>
      <c r="R65" s="57">
        <v>5000</v>
      </c>
      <c r="S65" s="57" t="s">
        <v>218</v>
      </c>
      <c r="T65" s="57">
        <v>101.331</v>
      </c>
      <c r="U65" s="57"/>
      <c r="V65" s="57"/>
      <c r="W65" s="57"/>
      <c r="X65" s="57"/>
      <c r="Y65" s="57"/>
      <c r="Z65" s="57"/>
      <c r="AA65" s="228"/>
      <c r="AB65" s="57" t="s">
        <v>519</v>
      </c>
      <c r="AC65" s="373" t="s">
        <v>399</v>
      </c>
      <c r="AD65" s="57" t="s">
        <v>222</v>
      </c>
      <c r="AE65" s="376"/>
      <c r="AF65" s="228"/>
      <c r="AG65" s="228"/>
    </row>
    <row r="66" s="10" customFormat="1" ht="72" spans="1:33">
      <c r="A66" s="348">
        <v>10</v>
      </c>
      <c r="B66" s="56">
        <v>3</v>
      </c>
      <c r="C66" s="57" t="s">
        <v>485</v>
      </c>
      <c r="D66" s="57" t="s">
        <v>337</v>
      </c>
      <c r="E66" s="57" t="s">
        <v>335</v>
      </c>
      <c r="F66" s="58" t="s">
        <v>521</v>
      </c>
      <c r="G66" s="59" t="s">
        <v>495</v>
      </c>
      <c r="H66" s="58"/>
      <c r="I66" s="57" t="s">
        <v>392</v>
      </c>
      <c r="J66" s="57" t="s">
        <v>432</v>
      </c>
      <c r="K66" s="57" t="s">
        <v>519</v>
      </c>
      <c r="L66" s="367">
        <v>45911</v>
      </c>
      <c r="M66" s="57" t="s">
        <v>498</v>
      </c>
      <c r="N66" s="58" t="s">
        <v>499</v>
      </c>
      <c r="O66" s="57" t="s">
        <v>397</v>
      </c>
      <c r="P66" s="57" t="s">
        <v>398</v>
      </c>
      <c r="Q66" s="57">
        <v>98</v>
      </c>
      <c r="R66" s="57">
        <v>2000</v>
      </c>
      <c r="S66" s="57" t="s">
        <v>218</v>
      </c>
      <c r="T66" s="57">
        <v>100.3312</v>
      </c>
      <c r="U66" s="57"/>
      <c r="V66" s="57"/>
      <c r="W66" s="57"/>
      <c r="X66" s="57"/>
      <c r="Y66" s="57"/>
      <c r="Z66" s="57"/>
      <c r="AA66" s="228"/>
      <c r="AB66" s="57" t="s">
        <v>519</v>
      </c>
      <c r="AC66" s="373" t="s">
        <v>399</v>
      </c>
      <c r="AD66" s="57" t="s">
        <v>222</v>
      </c>
      <c r="AE66" s="376"/>
      <c r="AF66" s="228"/>
      <c r="AG66" s="228"/>
    </row>
    <row r="67" s="10" customFormat="1" ht="60" spans="1:33">
      <c r="A67" s="348">
        <v>10</v>
      </c>
      <c r="B67" s="56">
        <v>4</v>
      </c>
      <c r="C67" s="57" t="s">
        <v>486</v>
      </c>
      <c r="D67" s="57" t="s">
        <v>338</v>
      </c>
      <c r="E67" s="57" t="s">
        <v>335</v>
      </c>
      <c r="F67" s="58" t="s">
        <v>522</v>
      </c>
      <c r="G67" s="59" t="s">
        <v>495</v>
      </c>
      <c r="H67" s="58"/>
      <c r="I67" s="57" t="s">
        <v>412</v>
      </c>
      <c r="J67" s="57" t="s">
        <v>432</v>
      </c>
      <c r="K67" s="57" t="s">
        <v>519</v>
      </c>
      <c r="L67" s="367">
        <v>45910</v>
      </c>
      <c r="M67" s="57" t="s">
        <v>501</v>
      </c>
      <c r="N67" s="58" t="s">
        <v>502</v>
      </c>
      <c r="O67" s="57" t="s">
        <v>397</v>
      </c>
      <c r="P67" s="57" t="s">
        <v>398</v>
      </c>
      <c r="Q67" s="57">
        <v>112</v>
      </c>
      <c r="R67" s="57">
        <v>1000</v>
      </c>
      <c r="S67" s="57" t="s">
        <v>218</v>
      </c>
      <c r="T67" s="57">
        <v>101.901</v>
      </c>
      <c r="U67" s="57"/>
      <c r="V67" s="57"/>
      <c r="W67" s="57"/>
      <c r="X67" s="57"/>
      <c r="Y67" s="57"/>
      <c r="Z67" s="57"/>
      <c r="AA67" s="228"/>
      <c r="AB67" s="57" t="s">
        <v>519</v>
      </c>
      <c r="AC67" s="373" t="s">
        <v>399</v>
      </c>
      <c r="AD67" s="57" t="s">
        <v>222</v>
      </c>
      <c r="AE67" s="376"/>
      <c r="AF67" s="228"/>
      <c r="AG67" s="228"/>
    </row>
    <row r="68" s="10" customFormat="1" ht="24" spans="1:33">
      <c r="A68" s="348">
        <v>11</v>
      </c>
      <c r="B68" s="56">
        <v>1</v>
      </c>
      <c r="C68" s="57"/>
      <c r="D68" s="57" t="s">
        <v>339</v>
      </c>
      <c r="E68" s="57" t="s">
        <v>340</v>
      </c>
      <c r="F68" s="58" t="s">
        <v>523</v>
      </c>
      <c r="G68" s="59" t="s">
        <v>495</v>
      </c>
      <c r="H68" s="58"/>
      <c r="I68" s="57" t="s">
        <v>392</v>
      </c>
      <c r="J68" s="57" t="s">
        <v>393</v>
      </c>
      <c r="K68" s="57" t="s">
        <v>524</v>
      </c>
      <c r="L68" s="366">
        <v>45910</v>
      </c>
      <c r="M68" s="57" t="s">
        <v>525</v>
      </c>
      <c r="N68" s="57" t="s">
        <v>526</v>
      </c>
      <c r="O68" s="57" t="s">
        <v>397</v>
      </c>
      <c r="P68" s="57" t="s">
        <v>398</v>
      </c>
      <c r="Q68" s="57">
        <v>98</v>
      </c>
      <c r="R68" s="57">
        <v>1000</v>
      </c>
      <c r="S68" s="57" t="s">
        <v>218</v>
      </c>
      <c r="T68" s="57">
        <v>100.3312</v>
      </c>
      <c r="U68" s="57"/>
      <c r="V68" s="57"/>
      <c r="W68" s="57"/>
      <c r="X68" s="57"/>
      <c r="Y68" s="57"/>
      <c r="Z68" s="57"/>
      <c r="AA68" s="228"/>
      <c r="AB68" s="57" t="s">
        <v>524</v>
      </c>
      <c r="AC68" s="373" t="s">
        <v>399</v>
      </c>
      <c r="AD68" s="57" t="s">
        <v>222</v>
      </c>
      <c r="AE68" s="376"/>
      <c r="AF68" s="228"/>
      <c r="AG68" s="228"/>
    </row>
    <row r="69" s="10" customFormat="1" ht="24" spans="1:33">
      <c r="A69" s="348">
        <v>11</v>
      </c>
      <c r="B69" s="56">
        <v>2</v>
      </c>
      <c r="C69" s="57"/>
      <c r="D69" s="57" t="s">
        <v>341</v>
      </c>
      <c r="E69" s="57" t="s">
        <v>340</v>
      </c>
      <c r="F69" s="58" t="s">
        <v>527</v>
      </c>
      <c r="G69" s="59" t="s">
        <v>495</v>
      </c>
      <c r="H69" s="58"/>
      <c r="I69" s="57" t="s">
        <v>412</v>
      </c>
      <c r="J69" s="57" t="s">
        <v>393</v>
      </c>
      <c r="K69" s="57" t="s">
        <v>524</v>
      </c>
      <c r="L69" s="366">
        <v>45910</v>
      </c>
      <c r="M69" s="57" t="s">
        <v>501</v>
      </c>
      <c r="N69" s="58" t="s">
        <v>502</v>
      </c>
      <c r="O69" s="57" t="s">
        <v>397</v>
      </c>
      <c r="P69" s="57" t="s">
        <v>398</v>
      </c>
      <c r="Q69" s="57">
        <v>99</v>
      </c>
      <c r="R69" s="57">
        <v>5000</v>
      </c>
      <c r="S69" s="57" t="s">
        <v>218</v>
      </c>
      <c r="T69" s="57">
        <v>101.331</v>
      </c>
      <c r="U69" s="57"/>
      <c r="V69" s="57"/>
      <c r="W69" s="57"/>
      <c r="X69" s="57"/>
      <c r="Y69" s="57"/>
      <c r="Z69" s="57"/>
      <c r="AA69" s="228"/>
      <c r="AB69" s="57" t="s">
        <v>524</v>
      </c>
      <c r="AC69" s="373" t="s">
        <v>399</v>
      </c>
      <c r="AD69" s="57" t="s">
        <v>222</v>
      </c>
      <c r="AE69" s="376"/>
      <c r="AF69" s="228"/>
      <c r="AG69" s="228"/>
    </row>
    <row r="70" s="10" customFormat="1" ht="36" spans="1:33">
      <c r="A70" s="348">
        <v>11</v>
      </c>
      <c r="B70" s="56">
        <v>3</v>
      </c>
      <c r="C70" s="57"/>
      <c r="D70" s="57" t="s">
        <v>342</v>
      </c>
      <c r="E70" s="57" t="s">
        <v>340</v>
      </c>
      <c r="F70" s="58" t="s">
        <v>528</v>
      </c>
      <c r="G70" s="59" t="s">
        <v>495</v>
      </c>
      <c r="H70" s="58"/>
      <c r="I70" s="57" t="s">
        <v>416</v>
      </c>
      <c r="J70" s="57" t="s">
        <v>393</v>
      </c>
      <c r="K70" s="57" t="s">
        <v>524</v>
      </c>
      <c r="L70" s="366">
        <v>45910</v>
      </c>
      <c r="M70" s="57" t="s">
        <v>483</v>
      </c>
      <c r="N70" s="58" t="s">
        <v>484</v>
      </c>
      <c r="O70" s="57" t="s">
        <v>397</v>
      </c>
      <c r="P70" s="57" t="s">
        <v>398</v>
      </c>
      <c r="Q70" s="57">
        <v>99</v>
      </c>
      <c r="R70" s="57">
        <v>5000</v>
      </c>
      <c r="S70" s="57" t="s">
        <v>218</v>
      </c>
      <c r="T70" s="57">
        <v>101.331</v>
      </c>
      <c r="U70" s="57"/>
      <c r="V70" s="57"/>
      <c r="W70" s="57"/>
      <c r="X70" s="57"/>
      <c r="Y70" s="57"/>
      <c r="Z70" s="57"/>
      <c r="AA70" s="228"/>
      <c r="AB70" s="57" t="s">
        <v>524</v>
      </c>
      <c r="AC70" s="373" t="s">
        <v>399</v>
      </c>
      <c r="AD70" s="57" t="s">
        <v>222</v>
      </c>
      <c r="AE70" s="376"/>
      <c r="AF70" s="228"/>
      <c r="AG70" s="228"/>
    </row>
    <row r="71" s="10" customFormat="1" ht="12" spans="1:33">
      <c r="A71" s="348">
        <v>11</v>
      </c>
      <c r="B71" s="56">
        <v>4</v>
      </c>
      <c r="C71" s="57"/>
      <c r="D71" s="57" t="s">
        <v>343</v>
      </c>
      <c r="E71" s="57" t="s">
        <v>340</v>
      </c>
      <c r="F71" s="58" t="s">
        <v>529</v>
      </c>
      <c r="G71" s="59" t="s">
        <v>495</v>
      </c>
      <c r="H71" s="58"/>
      <c r="I71" s="57" t="s">
        <v>392</v>
      </c>
      <c r="J71" s="57" t="s">
        <v>393</v>
      </c>
      <c r="K71" s="57" t="s">
        <v>524</v>
      </c>
      <c r="L71" s="367">
        <v>45910</v>
      </c>
      <c r="M71" s="57" t="s">
        <v>530</v>
      </c>
      <c r="N71" s="57" t="s">
        <v>531</v>
      </c>
      <c r="O71" s="57" t="s">
        <v>397</v>
      </c>
      <c r="P71" s="57" t="s">
        <v>398</v>
      </c>
      <c r="Q71" s="57">
        <v>99</v>
      </c>
      <c r="R71" s="57">
        <v>5000</v>
      </c>
      <c r="S71" s="57" t="s">
        <v>218</v>
      </c>
      <c r="T71" s="57">
        <v>101.331</v>
      </c>
      <c r="U71" s="57"/>
      <c r="V71" s="57"/>
      <c r="W71" s="57"/>
      <c r="X71" s="57"/>
      <c r="Y71" s="57"/>
      <c r="Z71" s="57"/>
      <c r="AA71" s="228"/>
      <c r="AB71" s="57" t="s">
        <v>524</v>
      </c>
      <c r="AC71" s="373" t="s">
        <v>399</v>
      </c>
      <c r="AD71" s="57" t="s">
        <v>222</v>
      </c>
      <c r="AE71" s="376"/>
      <c r="AF71" s="228"/>
      <c r="AG71" s="228"/>
    </row>
    <row r="72" s="10" customFormat="1" ht="44.25" customHeight="1" spans="1:33">
      <c r="A72" s="348">
        <v>11</v>
      </c>
      <c r="B72" s="56">
        <v>5</v>
      </c>
      <c r="C72" s="57"/>
      <c r="D72" s="57" t="s">
        <v>344</v>
      </c>
      <c r="E72" s="57" t="s">
        <v>340</v>
      </c>
      <c r="F72" s="58" t="s">
        <v>532</v>
      </c>
      <c r="G72" s="59" t="s">
        <v>495</v>
      </c>
      <c r="H72" s="58"/>
      <c r="I72" s="57" t="s">
        <v>392</v>
      </c>
      <c r="J72" s="57" t="s">
        <v>393</v>
      </c>
      <c r="K72" s="57" t="s">
        <v>524</v>
      </c>
      <c r="L72" s="367">
        <v>45910</v>
      </c>
      <c r="M72" s="57" t="s">
        <v>533</v>
      </c>
      <c r="N72" s="57" t="s">
        <v>534</v>
      </c>
      <c r="O72" s="57" t="s">
        <v>397</v>
      </c>
      <c r="P72" s="57" t="s">
        <v>398</v>
      </c>
      <c r="Q72" s="57">
        <v>99</v>
      </c>
      <c r="R72" s="57">
        <v>5000</v>
      </c>
      <c r="S72" s="57" t="s">
        <v>218</v>
      </c>
      <c r="T72" s="57">
        <v>101.331</v>
      </c>
      <c r="U72" s="57"/>
      <c r="V72" s="57"/>
      <c r="W72" s="57"/>
      <c r="X72" s="57"/>
      <c r="Y72" s="57"/>
      <c r="Z72" s="57"/>
      <c r="AA72" s="228"/>
      <c r="AB72" s="57" t="s">
        <v>524</v>
      </c>
      <c r="AC72" s="373" t="s">
        <v>399</v>
      </c>
      <c r="AD72" s="57" t="s">
        <v>222</v>
      </c>
      <c r="AE72" s="376"/>
      <c r="AF72" s="228"/>
      <c r="AG72" s="228"/>
    </row>
    <row r="73" s="10" customFormat="1" ht="60" spans="1:33">
      <c r="A73" s="348">
        <v>11</v>
      </c>
      <c r="B73" s="56">
        <v>6</v>
      </c>
      <c r="C73" s="57"/>
      <c r="D73" s="57" t="s">
        <v>345</v>
      </c>
      <c r="E73" s="57" t="s">
        <v>340</v>
      </c>
      <c r="F73" s="58" t="s">
        <v>535</v>
      </c>
      <c r="G73" s="59" t="s">
        <v>495</v>
      </c>
      <c r="H73" s="58"/>
      <c r="I73" s="57" t="s">
        <v>392</v>
      </c>
      <c r="J73" s="57" t="s">
        <v>393</v>
      </c>
      <c r="K73" s="57" t="s">
        <v>524</v>
      </c>
      <c r="L73" s="367">
        <v>45873</v>
      </c>
      <c r="M73" s="57" t="s">
        <v>536</v>
      </c>
      <c r="N73" s="57" t="s">
        <v>537</v>
      </c>
      <c r="O73" s="57" t="s">
        <v>397</v>
      </c>
      <c r="P73" s="57" t="s">
        <v>398</v>
      </c>
      <c r="Q73" s="57">
        <v>99</v>
      </c>
      <c r="R73" s="57">
        <v>5000</v>
      </c>
      <c r="S73" s="57" t="s">
        <v>218</v>
      </c>
      <c r="T73" s="57">
        <v>101.331</v>
      </c>
      <c r="U73" s="57"/>
      <c r="V73" s="57"/>
      <c r="W73" s="57"/>
      <c r="X73" s="57"/>
      <c r="Y73" s="57"/>
      <c r="Z73" s="57"/>
      <c r="AA73" s="228"/>
      <c r="AB73" s="57" t="s">
        <v>524</v>
      </c>
      <c r="AC73" s="373" t="s">
        <v>399</v>
      </c>
      <c r="AD73" s="57" t="s">
        <v>222</v>
      </c>
      <c r="AE73" s="376"/>
      <c r="AF73" s="228"/>
      <c r="AG73" s="228"/>
    </row>
    <row r="74" s="10" customFormat="1" ht="60" spans="1:33">
      <c r="A74" s="348">
        <v>11</v>
      </c>
      <c r="B74" s="56">
        <v>7</v>
      </c>
      <c r="C74" s="57"/>
      <c r="D74" s="57" t="s">
        <v>346</v>
      </c>
      <c r="E74" s="57" t="s">
        <v>340</v>
      </c>
      <c r="F74" s="58" t="s">
        <v>538</v>
      </c>
      <c r="G74" s="59" t="s">
        <v>495</v>
      </c>
      <c r="H74" s="58"/>
      <c r="I74" s="57" t="s">
        <v>392</v>
      </c>
      <c r="J74" s="57" t="s">
        <v>393</v>
      </c>
      <c r="K74" s="57" t="s">
        <v>524</v>
      </c>
      <c r="L74" s="367">
        <v>45873</v>
      </c>
      <c r="M74" s="57" t="s">
        <v>539</v>
      </c>
      <c r="N74" s="57" t="s">
        <v>540</v>
      </c>
      <c r="O74" s="57" t="s">
        <v>397</v>
      </c>
      <c r="P74" s="57" t="s">
        <v>398</v>
      </c>
      <c r="Q74" s="57">
        <v>99</v>
      </c>
      <c r="R74" s="57">
        <v>5000</v>
      </c>
      <c r="S74" s="57" t="s">
        <v>218</v>
      </c>
      <c r="T74" s="57">
        <v>101.331</v>
      </c>
      <c r="U74" s="57"/>
      <c r="V74" s="57"/>
      <c r="W74" s="57"/>
      <c r="X74" s="57"/>
      <c r="Y74" s="57"/>
      <c r="Z74" s="57"/>
      <c r="AA74" s="228"/>
      <c r="AB74" s="57" t="s">
        <v>524</v>
      </c>
      <c r="AC74" s="373" t="s">
        <v>399</v>
      </c>
      <c r="AD74" s="57" t="s">
        <v>222</v>
      </c>
      <c r="AE74" s="376"/>
      <c r="AF74" s="228"/>
      <c r="AG74" s="228"/>
    </row>
    <row r="75" s="10" customFormat="1" ht="12" spans="1:33">
      <c r="A75" s="348">
        <v>12</v>
      </c>
      <c r="B75" s="56">
        <v>1</v>
      </c>
      <c r="C75" s="57" t="s">
        <v>477</v>
      </c>
      <c r="D75" s="57" t="s">
        <v>347</v>
      </c>
      <c r="E75" s="57" t="s">
        <v>348</v>
      </c>
      <c r="F75" s="58" t="s">
        <v>541</v>
      </c>
      <c r="G75" s="59" t="s">
        <v>495</v>
      </c>
      <c r="H75" s="58"/>
      <c r="I75" s="57" t="s">
        <v>392</v>
      </c>
      <c r="J75" s="57" t="s">
        <v>393</v>
      </c>
      <c r="K75" s="57" t="s">
        <v>542</v>
      </c>
      <c r="L75" s="367">
        <v>45873</v>
      </c>
      <c r="M75" s="57" t="s">
        <v>543</v>
      </c>
      <c r="N75" s="57" t="s">
        <v>544</v>
      </c>
      <c r="O75" s="57" t="s">
        <v>397</v>
      </c>
      <c r="P75" s="57" t="s">
        <v>398</v>
      </c>
      <c r="Q75" s="57">
        <v>98</v>
      </c>
      <c r="R75" s="57">
        <v>1000</v>
      </c>
      <c r="S75" s="57" t="s">
        <v>218</v>
      </c>
      <c r="T75" s="57">
        <v>100.3312</v>
      </c>
      <c r="U75" s="57"/>
      <c r="V75" s="57"/>
      <c r="W75" s="57"/>
      <c r="X75" s="57"/>
      <c r="Y75" s="57"/>
      <c r="Z75" s="57"/>
      <c r="AA75" s="228"/>
      <c r="AB75" s="57" t="s">
        <v>542</v>
      </c>
      <c r="AC75" s="373" t="s">
        <v>399</v>
      </c>
      <c r="AD75" s="57" t="s">
        <v>222</v>
      </c>
      <c r="AE75" s="376"/>
      <c r="AF75" s="228"/>
      <c r="AG75" s="228"/>
    </row>
    <row r="76" s="10" customFormat="1" ht="12" spans="1:33">
      <c r="A76" s="348">
        <v>12</v>
      </c>
      <c r="B76" s="56">
        <v>2</v>
      </c>
      <c r="C76" s="57"/>
      <c r="D76" s="57" t="s">
        <v>354</v>
      </c>
      <c r="E76" s="57" t="s">
        <v>348</v>
      </c>
      <c r="F76" s="58" t="s">
        <v>545</v>
      </c>
      <c r="G76" s="59" t="s">
        <v>495</v>
      </c>
      <c r="H76" s="58"/>
      <c r="I76" s="57" t="s">
        <v>412</v>
      </c>
      <c r="J76" s="57" t="s">
        <v>393</v>
      </c>
      <c r="K76" s="57" t="s">
        <v>542</v>
      </c>
      <c r="L76" s="367">
        <v>45873</v>
      </c>
      <c r="M76" s="57" t="s">
        <v>501</v>
      </c>
      <c r="N76" s="58" t="s">
        <v>502</v>
      </c>
      <c r="O76" s="57" t="s">
        <v>397</v>
      </c>
      <c r="P76" s="57" t="s">
        <v>398</v>
      </c>
      <c r="Q76" s="57">
        <v>99</v>
      </c>
      <c r="R76" s="57">
        <v>5000</v>
      </c>
      <c r="S76" s="57" t="s">
        <v>218</v>
      </c>
      <c r="T76" s="57">
        <v>101.331</v>
      </c>
      <c r="U76" s="57"/>
      <c r="V76" s="57"/>
      <c r="W76" s="57"/>
      <c r="X76" s="57"/>
      <c r="Y76" s="57"/>
      <c r="Z76" s="57"/>
      <c r="AA76" s="228"/>
      <c r="AB76" s="57" t="s">
        <v>542</v>
      </c>
      <c r="AC76" s="373" t="s">
        <v>399</v>
      </c>
      <c r="AD76" s="57" t="s">
        <v>222</v>
      </c>
      <c r="AE76" s="376"/>
      <c r="AF76" s="228"/>
      <c r="AG76" s="228"/>
    </row>
    <row r="77" s="10" customFormat="1" ht="12" spans="1:33">
      <c r="A77" s="348">
        <v>12</v>
      </c>
      <c r="B77" s="56">
        <v>2</v>
      </c>
      <c r="C77" s="57"/>
      <c r="D77" s="57" t="s">
        <v>350</v>
      </c>
      <c r="E77" s="57" t="s">
        <v>348</v>
      </c>
      <c r="F77" s="58" t="s">
        <v>545</v>
      </c>
      <c r="G77" s="59" t="s">
        <v>495</v>
      </c>
      <c r="H77" s="58"/>
      <c r="I77" s="57" t="s">
        <v>416</v>
      </c>
      <c r="J77" s="57" t="s">
        <v>393</v>
      </c>
      <c r="K77" s="57" t="s">
        <v>542</v>
      </c>
      <c r="L77" s="367">
        <v>45873</v>
      </c>
      <c r="M77" s="57" t="s">
        <v>543</v>
      </c>
      <c r="N77" s="58" t="s">
        <v>544</v>
      </c>
      <c r="O77" s="57" t="s">
        <v>397</v>
      </c>
      <c r="P77" s="57" t="s">
        <v>398</v>
      </c>
      <c r="Q77" s="57">
        <v>99</v>
      </c>
      <c r="R77" s="57">
        <v>5000</v>
      </c>
      <c r="S77" s="57" t="s">
        <v>218</v>
      </c>
      <c r="T77" s="57">
        <v>101.331</v>
      </c>
      <c r="U77" s="57"/>
      <c r="V77" s="57"/>
      <c r="W77" s="57"/>
      <c r="X77" s="57"/>
      <c r="Y77" s="57"/>
      <c r="Z77" s="57"/>
      <c r="AA77" s="228"/>
      <c r="AB77" s="57" t="s">
        <v>542</v>
      </c>
      <c r="AC77" s="373" t="s">
        <v>399</v>
      </c>
      <c r="AD77" s="57" t="s">
        <v>222</v>
      </c>
      <c r="AE77" s="376"/>
      <c r="AF77" s="228"/>
      <c r="AG77" s="228"/>
    </row>
    <row r="78" s="10" customFormat="1" ht="50.25" customHeight="1" spans="1:33">
      <c r="A78" s="348">
        <v>13</v>
      </c>
      <c r="B78" s="56">
        <v>1</v>
      </c>
      <c r="C78" s="57"/>
      <c r="D78" s="57" t="s">
        <v>351</v>
      </c>
      <c r="E78" s="57" t="s">
        <v>352</v>
      </c>
      <c r="F78" s="58" t="s">
        <v>546</v>
      </c>
      <c r="G78" s="59" t="s">
        <v>547</v>
      </c>
      <c r="H78" s="58"/>
      <c r="I78" s="57" t="s">
        <v>392</v>
      </c>
      <c r="J78" s="57" t="s">
        <v>393</v>
      </c>
      <c r="K78" s="57" t="s">
        <v>548</v>
      </c>
      <c r="L78" s="366">
        <v>45901</v>
      </c>
      <c r="M78" s="57" t="s">
        <v>480</v>
      </c>
      <c r="N78" s="57" t="s">
        <v>481</v>
      </c>
      <c r="O78" s="57" t="s">
        <v>397</v>
      </c>
      <c r="P78" s="57" t="s">
        <v>398</v>
      </c>
      <c r="Q78" s="57">
        <v>98</v>
      </c>
      <c r="R78" s="57">
        <v>1000</v>
      </c>
      <c r="S78" s="57" t="s">
        <v>218</v>
      </c>
      <c r="T78" s="57">
        <v>100.3312</v>
      </c>
      <c r="U78" s="57"/>
      <c r="V78" s="57"/>
      <c r="W78" s="57"/>
      <c r="X78" s="57"/>
      <c r="Y78" s="57"/>
      <c r="Z78" s="57"/>
      <c r="AA78" s="57"/>
      <c r="AB78" s="57" t="s">
        <v>548</v>
      </c>
      <c r="AC78" s="247" t="s">
        <v>399</v>
      </c>
      <c r="AD78" s="57" t="s">
        <v>222</v>
      </c>
      <c r="AE78" s="247"/>
      <c r="AF78" s="57"/>
      <c r="AG78" s="57"/>
    </row>
    <row r="79" s="10" customFormat="1" ht="27.75" customHeight="1" spans="1:33">
      <c r="A79" s="348">
        <v>13</v>
      </c>
      <c r="B79" s="56">
        <v>2</v>
      </c>
      <c r="C79" s="57"/>
      <c r="D79" s="57" t="s">
        <v>353</v>
      </c>
      <c r="E79" s="57" t="s">
        <v>352</v>
      </c>
      <c r="F79" s="58" t="s">
        <v>549</v>
      </c>
      <c r="G79" s="59" t="s">
        <v>547</v>
      </c>
      <c r="H79" s="58"/>
      <c r="I79" s="57" t="s">
        <v>392</v>
      </c>
      <c r="J79" s="57" t="s">
        <v>432</v>
      </c>
      <c r="K79" s="57" t="s">
        <v>550</v>
      </c>
      <c r="L79" s="366">
        <v>45902</v>
      </c>
      <c r="M79" s="57" t="s">
        <v>480</v>
      </c>
      <c r="N79" s="58" t="s">
        <v>481</v>
      </c>
      <c r="O79" s="57" t="s">
        <v>397</v>
      </c>
      <c r="P79" s="57" t="s">
        <v>398</v>
      </c>
      <c r="Q79" s="57">
        <v>98</v>
      </c>
      <c r="R79" s="57">
        <v>2000</v>
      </c>
      <c r="S79" s="57" t="s">
        <v>218</v>
      </c>
      <c r="T79" s="57">
        <v>100.3312</v>
      </c>
      <c r="U79" s="57"/>
      <c r="V79" s="57"/>
      <c r="W79" s="57"/>
      <c r="X79" s="57"/>
      <c r="Y79" s="57"/>
      <c r="Z79" s="57"/>
      <c r="AA79" s="57"/>
      <c r="AB79" s="57" t="s">
        <v>550</v>
      </c>
      <c r="AC79" s="247" t="s">
        <v>399</v>
      </c>
      <c r="AD79" s="57" t="s">
        <v>222</v>
      </c>
      <c r="AE79" s="391"/>
      <c r="AF79" s="166"/>
      <c r="AG79" s="166"/>
    </row>
    <row r="80" s="10" customFormat="1" ht="36" spans="1:33">
      <c r="A80" s="348">
        <v>13</v>
      </c>
      <c r="B80" s="56">
        <v>3</v>
      </c>
      <c r="C80" s="57"/>
      <c r="D80" s="57" t="s">
        <v>551</v>
      </c>
      <c r="E80" s="57" t="s">
        <v>352</v>
      </c>
      <c r="F80" s="58" t="s">
        <v>552</v>
      </c>
      <c r="G80" s="59" t="s">
        <v>547</v>
      </c>
      <c r="H80" s="58"/>
      <c r="I80" s="57" t="s">
        <v>412</v>
      </c>
      <c r="J80" s="57" t="s">
        <v>393</v>
      </c>
      <c r="K80" s="57" t="s">
        <v>548</v>
      </c>
      <c r="L80" s="366">
        <v>45901</v>
      </c>
      <c r="M80" s="57" t="s">
        <v>501</v>
      </c>
      <c r="N80" s="58" t="s">
        <v>502</v>
      </c>
      <c r="O80" s="57" t="s">
        <v>397</v>
      </c>
      <c r="P80" s="57" t="s">
        <v>398</v>
      </c>
      <c r="Q80" s="57">
        <v>99</v>
      </c>
      <c r="R80" s="57">
        <v>5000</v>
      </c>
      <c r="S80" s="57" t="s">
        <v>218</v>
      </c>
      <c r="T80" s="57">
        <v>101.331</v>
      </c>
      <c r="U80" s="57"/>
      <c r="V80" s="57"/>
      <c r="W80" s="57"/>
      <c r="X80" s="57"/>
      <c r="Y80" s="57"/>
      <c r="Z80" s="57"/>
      <c r="AA80" s="57"/>
      <c r="AB80" s="57" t="s">
        <v>548</v>
      </c>
      <c r="AC80" s="247" t="s">
        <v>399</v>
      </c>
      <c r="AD80" s="57" t="s">
        <v>222</v>
      </c>
      <c r="AE80" s="247"/>
      <c r="AF80" s="57"/>
      <c r="AG80" s="57"/>
    </row>
    <row r="81" s="10" customFormat="1" ht="36" spans="1:33">
      <c r="A81" s="348">
        <v>13</v>
      </c>
      <c r="B81" s="56">
        <v>4</v>
      </c>
      <c r="C81" s="57"/>
      <c r="D81" s="57" t="s">
        <v>355</v>
      </c>
      <c r="E81" s="57" t="s">
        <v>352</v>
      </c>
      <c r="F81" s="58" t="s">
        <v>553</v>
      </c>
      <c r="G81" s="59" t="s">
        <v>547</v>
      </c>
      <c r="H81" s="58"/>
      <c r="I81" s="57" t="s">
        <v>412</v>
      </c>
      <c r="J81" s="57" t="s">
        <v>432</v>
      </c>
      <c r="K81" s="57" t="s">
        <v>550</v>
      </c>
      <c r="L81" s="366">
        <v>45905</v>
      </c>
      <c r="M81" s="57" t="s">
        <v>501</v>
      </c>
      <c r="N81" s="58" t="s">
        <v>502</v>
      </c>
      <c r="O81" s="57" t="s">
        <v>397</v>
      </c>
      <c r="P81" s="57" t="s">
        <v>398</v>
      </c>
      <c r="Q81" s="57">
        <v>99.57</v>
      </c>
      <c r="R81" s="57">
        <v>1000</v>
      </c>
      <c r="S81" s="57" t="s">
        <v>218</v>
      </c>
      <c r="T81" s="57">
        <v>101.901</v>
      </c>
      <c r="U81" s="57"/>
      <c r="V81" s="57"/>
      <c r="W81" s="57"/>
      <c r="X81" s="57"/>
      <c r="Y81" s="57"/>
      <c r="Z81" s="57"/>
      <c r="AA81" s="57"/>
      <c r="AB81" s="57" t="s">
        <v>550</v>
      </c>
      <c r="AC81" s="247" t="s">
        <v>399</v>
      </c>
      <c r="AD81" s="57" t="s">
        <v>222</v>
      </c>
      <c r="AE81" s="391"/>
      <c r="AF81" s="166"/>
      <c r="AG81" s="166"/>
    </row>
    <row r="82" s="10" customFormat="1" ht="28" customHeight="1" spans="1:33">
      <c r="A82" s="348">
        <v>13</v>
      </c>
      <c r="B82" s="56">
        <v>1</v>
      </c>
      <c r="C82" s="57"/>
      <c r="D82" s="57" t="s">
        <v>554</v>
      </c>
      <c r="E82" s="57" t="s">
        <v>352</v>
      </c>
      <c r="F82" s="58" t="s">
        <v>555</v>
      </c>
      <c r="G82" s="59" t="s">
        <v>547</v>
      </c>
      <c r="H82" s="58"/>
      <c r="I82" s="57" t="s">
        <v>392</v>
      </c>
      <c r="J82" s="57" t="s">
        <v>393</v>
      </c>
      <c r="K82" s="57" t="s">
        <v>556</v>
      </c>
      <c r="L82" s="366">
        <v>45901</v>
      </c>
      <c r="M82" s="57" t="s">
        <v>480</v>
      </c>
      <c r="N82" s="57" t="s">
        <v>481</v>
      </c>
      <c r="O82" s="57" t="s">
        <v>397</v>
      </c>
      <c r="P82" s="57" t="s">
        <v>398</v>
      </c>
      <c r="Q82" s="57">
        <v>98</v>
      </c>
      <c r="R82" s="57">
        <v>1000</v>
      </c>
      <c r="S82" s="57" t="s">
        <v>218</v>
      </c>
      <c r="T82" s="57">
        <v>100.3312</v>
      </c>
      <c r="U82" s="57"/>
      <c r="V82" s="57"/>
      <c r="W82" s="57"/>
      <c r="X82" s="57"/>
      <c r="Y82" s="57"/>
      <c r="Z82" s="57"/>
      <c r="AA82" s="57"/>
      <c r="AB82" s="57" t="s">
        <v>548</v>
      </c>
      <c r="AC82" s="247" t="s">
        <v>399</v>
      </c>
      <c r="AD82" s="57" t="s">
        <v>222</v>
      </c>
      <c r="AE82" s="247"/>
      <c r="AF82" s="57"/>
      <c r="AG82" s="57"/>
    </row>
    <row r="83" s="10" customFormat="1" ht="36" spans="1:33">
      <c r="A83" s="348">
        <v>14</v>
      </c>
      <c r="B83" s="56">
        <v>1</v>
      </c>
      <c r="C83" s="57"/>
      <c r="D83" s="57" t="s">
        <v>356</v>
      </c>
      <c r="E83" s="57" t="s">
        <v>357</v>
      </c>
      <c r="F83" s="58" t="s">
        <v>557</v>
      </c>
      <c r="G83" s="59" t="s">
        <v>547</v>
      </c>
      <c r="H83" s="58"/>
      <c r="I83" s="57" t="s">
        <v>392</v>
      </c>
      <c r="J83" s="57" t="s">
        <v>393</v>
      </c>
      <c r="K83" s="57" t="s">
        <v>558</v>
      </c>
      <c r="L83" s="367">
        <v>45901</v>
      </c>
      <c r="M83" s="57" t="s">
        <v>480</v>
      </c>
      <c r="N83" s="57" t="s">
        <v>481</v>
      </c>
      <c r="O83" s="57" t="s">
        <v>397</v>
      </c>
      <c r="P83" s="57" t="s">
        <v>398</v>
      </c>
      <c r="Q83" s="57">
        <v>98</v>
      </c>
      <c r="R83" s="57">
        <v>1000</v>
      </c>
      <c r="S83" s="57" t="s">
        <v>218</v>
      </c>
      <c r="T83" s="57">
        <v>100.3312</v>
      </c>
      <c r="U83" s="369"/>
      <c r="V83" s="57"/>
      <c r="W83" s="57"/>
      <c r="X83" s="57"/>
      <c r="Y83" s="57"/>
      <c r="Z83" s="57"/>
      <c r="AA83" s="57"/>
      <c r="AB83" s="57" t="s">
        <v>558</v>
      </c>
      <c r="AC83" s="247" t="s">
        <v>399</v>
      </c>
      <c r="AD83" s="57" t="s">
        <v>222</v>
      </c>
      <c r="AE83" s="376"/>
      <c r="AF83" s="228"/>
      <c r="AG83" s="228"/>
    </row>
    <row r="84" s="10" customFormat="1" ht="28" customHeight="1" spans="1:33">
      <c r="A84" s="348">
        <v>14</v>
      </c>
      <c r="B84" s="56">
        <v>2</v>
      </c>
      <c r="C84" s="57"/>
      <c r="D84" s="57" t="s">
        <v>358</v>
      </c>
      <c r="E84" s="57" t="s">
        <v>357</v>
      </c>
      <c r="F84" s="58" t="s">
        <v>559</v>
      </c>
      <c r="G84" s="59" t="s">
        <v>547</v>
      </c>
      <c r="H84" s="58"/>
      <c r="I84" s="57" t="s">
        <v>392</v>
      </c>
      <c r="J84" s="57" t="s">
        <v>432</v>
      </c>
      <c r="K84" s="57" t="s">
        <v>558</v>
      </c>
      <c r="L84" s="367">
        <v>45901</v>
      </c>
      <c r="M84" s="57" t="s">
        <v>480</v>
      </c>
      <c r="N84" s="57" t="s">
        <v>481</v>
      </c>
      <c r="O84" s="57" t="s">
        <v>397</v>
      </c>
      <c r="P84" s="57" t="s">
        <v>398</v>
      </c>
      <c r="Q84" s="57">
        <v>98</v>
      </c>
      <c r="R84" s="57">
        <v>1000</v>
      </c>
      <c r="S84" s="57" t="s">
        <v>218</v>
      </c>
      <c r="T84" s="57">
        <v>100.3312</v>
      </c>
      <c r="U84" s="369"/>
      <c r="V84" s="57"/>
      <c r="W84" s="57"/>
      <c r="X84" s="57"/>
      <c r="Y84" s="57"/>
      <c r="Z84" s="57"/>
      <c r="AA84" s="57"/>
      <c r="AB84" s="57" t="s">
        <v>558</v>
      </c>
      <c r="AC84" s="247" t="s">
        <v>399</v>
      </c>
      <c r="AD84" s="57" t="s">
        <v>222</v>
      </c>
      <c r="AE84" s="376"/>
      <c r="AF84" s="228"/>
      <c r="AG84" s="228"/>
    </row>
    <row r="85" s="10" customFormat="1" ht="27.75" customHeight="1" spans="1:33">
      <c r="A85" s="348">
        <v>14</v>
      </c>
      <c r="B85" s="56">
        <v>3</v>
      </c>
      <c r="C85" s="57"/>
      <c r="D85" s="57" t="s">
        <v>359</v>
      </c>
      <c r="E85" s="57" t="s">
        <v>357</v>
      </c>
      <c r="F85" s="58" t="s">
        <v>560</v>
      </c>
      <c r="G85" s="59" t="s">
        <v>547</v>
      </c>
      <c r="H85" s="58"/>
      <c r="I85" s="57" t="s">
        <v>412</v>
      </c>
      <c r="J85" s="57" t="s">
        <v>393</v>
      </c>
      <c r="K85" s="57" t="s">
        <v>558</v>
      </c>
      <c r="L85" s="367">
        <v>45901</v>
      </c>
      <c r="M85" s="57" t="s">
        <v>483</v>
      </c>
      <c r="N85" s="58" t="s">
        <v>484</v>
      </c>
      <c r="O85" s="57" t="s">
        <v>397</v>
      </c>
      <c r="P85" s="57" t="s">
        <v>398</v>
      </c>
      <c r="Q85" s="57">
        <v>99</v>
      </c>
      <c r="R85" s="57">
        <v>5000</v>
      </c>
      <c r="S85" s="57" t="s">
        <v>218</v>
      </c>
      <c r="T85" s="57">
        <v>101.331</v>
      </c>
      <c r="U85" s="369"/>
      <c r="V85" s="57"/>
      <c r="W85" s="57"/>
      <c r="X85" s="57"/>
      <c r="Y85" s="57"/>
      <c r="Z85" s="57"/>
      <c r="AA85" s="57"/>
      <c r="AB85" s="57" t="s">
        <v>558</v>
      </c>
      <c r="AC85" s="247" t="s">
        <v>399</v>
      </c>
      <c r="AD85" s="57" t="s">
        <v>222</v>
      </c>
      <c r="AE85" s="376"/>
      <c r="AF85" s="228"/>
      <c r="AG85" s="228"/>
    </row>
    <row r="86" s="10" customFormat="1" ht="27.75" customHeight="1" spans="1:33">
      <c r="A86" s="348">
        <v>14</v>
      </c>
      <c r="B86" s="56">
        <v>4</v>
      </c>
      <c r="C86" s="57"/>
      <c r="D86" s="47" t="s">
        <v>561</v>
      </c>
      <c r="E86" s="57" t="s">
        <v>357</v>
      </c>
      <c r="F86" s="58" t="s">
        <v>560</v>
      </c>
      <c r="G86" s="59" t="s">
        <v>547</v>
      </c>
      <c r="H86" s="58"/>
      <c r="I86" s="57" t="s">
        <v>392</v>
      </c>
      <c r="J86" s="57" t="s">
        <v>393</v>
      </c>
      <c r="K86" s="57" t="s">
        <v>562</v>
      </c>
      <c r="L86" s="367">
        <v>45902</v>
      </c>
      <c r="M86" s="57" t="s">
        <v>480</v>
      </c>
      <c r="N86" s="58" t="s">
        <v>481</v>
      </c>
      <c r="O86" s="57" t="s">
        <v>397</v>
      </c>
      <c r="P86" s="57" t="s">
        <v>398</v>
      </c>
      <c r="Q86" s="57">
        <v>98</v>
      </c>
      <c r="R86" s="57">
        <v>2000</v>
      </c>
      <c r="S86" s="57" t="s">
        <v>218</v>
      </c>
      <c r="T86" s="57">
        <v>100.3312</v>
      </c>
      <c r="U86" s="369"/>
      <c r="V86" s="57"/>
      <c r="W86" s="57"/>
      <c r="X86" s="57"/>
      <c r="Y86" s="57"/>
      <c r="Z86" s="57"/>
      <c r="AA86" s="57"/>
      <c r="AB86" s="57" t="s">
        <v>562</v>
      </c>
      <c r="AC86" s="247" t="s">
        <v>399</v>
      </c>
      <c r="AD86" s="57" t="s">
        <v>222</v>
      </c>
      <c r="AE86" s="376"/>
      <c r="AF86" s="228"/>
      <c r="AG86" s="228"/>
    </row>
    <row r="87" s="10" customFormat="1" ht="39" customHeight="1" spans="1:33">
      <c r="A87" s="348">
        <v>14</v>
      </c>
      <c r="B87" s="56">
        <v>5</v>
      </c>
      <c r="C87" s="57"/>
      <c r="D87" s="47" t="s">
        <v>360</v>
      </c>
      <c r="E87" s="57" t="s">
        <v>357</v>
      </c>
      <c r="F87" s="58" t="s">
        <v>559</v>
      </c>
      <c r="G87" s="59" t="s">
        <v>547</v>
      </c>
      <c r="H87" s="58"/>
      <c r="I87" s="57" t="s">
        <v>412</v>
      </c>
      <c r="J87" s="57" t="s">
        <v>432</v>
      </c>
      <c r="K87" s="57" t="s">
        <v>562</v>
      </c>
      <c r="L87" s="367">
        <v>45905</v>
      </c>
      <c r="M87" s="57" t="s">
        <v>483</v>
      </c>
      <c r="N87" s="58" t="s">
        <v>484</v>
      </c>
      <c r="O87" s="57" t="s">
        <v>397</v>
      </c>
      <c r="P87" s="57" t="s">
        <v>398</v>
      </c>
      <c r="Q87" s="57">
        <v>99.57</v>
      </c>
      <c r="R87" s="57">
        <v>1000</v>
      </c>
      <c r="S87" s="57" t="s">
        <v>218</v>
      </c>
      <c r="T87" s="57">
        <v>101.901</v>
      </c>
      <c r="U87" s="369"/>
      <c r="V87" s="57"/>
      <c r="W87" s="57"/>
      <c r="X87" s="57"/>
      <c r="Y87" s="57"/>
      <c r="Z87" s="57"/>
      <c r="AA87" s="57"/>
      <c r="AB87" s="57" t="s">
        <v>562</v>
      </c>
      <c r="AC87" s="247" t="s">
        <v>399</v>
      </c>
      <c r="AD87" s="57" t="s">
        <v>222</v>
      </c>
      <c r="AE87" s="376"/>
      <c r="AF87" s="228"/>
      <c r="AG87" s="228"/>
    </row>
    <row r="88" s="10" customFormat="1" ht="27.75" customHeight="1" spans="1:33">
      <c r="A88" s="348">
        <v>14</v>
      </c>
      <c r="B88" s="56">
        <v>6</v>
      </c>
      <c r="C88" s="57"/>
      <c r="D88" s="47" t="s">
        <v>361</v>
      </c>
      <c r="E88" s="57" t="s">
        <v>357</v>
      </c>
      <c r="F88" s="58" t="s">
        <v>563</v>
      </c>
      <c r="G88" s="59" t="s">
        <v>547</v>
      </c>
      <c r="H88" s="58"/>
      <c r="I88" s="57" t="s">
        <v>412</v>
      </c>
      <c r="J88" s="57" t="s">
        <v>393</v>
      </c>
      <c r="K88" s="57" t="s">
        <v>562</v>
      </c>
      <c r="L88" s="367">
        <v>45905</v>
      </c>
      <c r="M88" s="57" t="s">
        <v>483</v>
      </c>
      <c r="N88" s="58" t="s">
        <v>484</v>
      </c>
      <c r="O88" s="57" t="s">
        <v>397</v>
      </c>
      <c r="P88" s="57" t="s">
        <v>398</v>
      </c>
      <c r="Q88" s="57">
        <v>99.57</v>
      </c>
      <c r="R88" s="57">
        <v>1000</v>
      </c>
      <c r="S88" s="57" t="s">
        <v>218</v>
      </c>
      <c r="T88" s="57">
        <v>101.901</v>
      </c>
      <c r="U88" s="369"/>
      <c r="V88" s="57"/>
      <c r="W88" s="57"/>
      <c r="X88" s="57"/>
      <c r="Y88" s="57"/>
      <c r="Z88" s="57"/>
      <c r="AA88" s="57"/>
      <c r="AB88" s="57" t="s">
        <v>562</v>
      </c>
      <c r="AC88" s="247" t="s">
        <v>399</v>
      </c>
      <c r="AD88" s="57" t="s">
        <v>222</v>
      </c>
      <c r="AE88" s="373"/>
      <c r="AF88" s="225"/>
      <c r="AG88" s="225"/>
    </row>
    <row r="89" s="10" customFormat="1" ht="28" customHeight="1" spans="1:33">
      <c r="A89" s="348">
        <v>14</v>
      </c>
      <c r="B89" s="56">
        <v>7</v>
      </c>
      <c r="C89" s="57"/>
      <c r="D89" s="57" t="s">
        <v>362</v>
      </c>
      <c r="E89" s="57" t="s">
        <v>357</v>
      </c>
      <c r="F89" s="58" t="s">
        <v>555</v>
      </c>
      <c r="G89" s="59" t="s">
        <v>547</v>
      </c>
      <c r="H89" s="58"/>
      <c r="I89" s="57" t="s">
        <v>392</v>
      </c>
      <c r="J89" s="57" t="s">
        <v>393</v>
      </c>
      <c r="K89" s="57" t="s">
        <v>564</v>
      </c>
      <c r="L89" s="367">
        <v>45901</v>
      </c>
      <c r="M89" s="57" t="s">
        <v>480</v>
      </c>
      <c r="N89" s="57" t="s">
        <v>481</v>
      </c>
      <c r="O89" s="57" t="s">
        <v>397</v>
      </c>
      <c r="P89" s="57" t="s">
        <v>398</v>
      </c>
      <c r="Q89" s="57">
        <v>98</v>
      </c>
      <c r="R89" s="57">
        <v>1000</v>
      </c>
      <c r="S89" s="57" t="s">
        <v>218</v>
      </c>
      <c r="T89" s="57">
        <v>100.3312</v>
      </c>
      <c r="U89" s="369"/>
      <c r="V89" s="57"/>
      <c r="W89" s="57"/>
      <c r="X89" s="57"/>
      <c r="Y89" s="57"/>
      <c r="Z89" s="57"/>
      <c r="AA89" s="57"/>
      <c r="AB89" s="57" t="s">
        <v>558</v>
      </c>
      <c r="AC89" s="247" t="s">
        <v>399</v>
      </c>
      <c r="AD89" s="57" t="s">
        <v>222</v>
      </c>
      <c r="AE89" s="373"/>
      <c r="AF89" s="225"/>
      <c r="AG89" s="225"/>
    </row>
    <row r="90" s="10" customFormat="1" ht="39" customHeight="1" spans="1:33">
      <c r="A90" s="348">
        <v>14</v>
      </c>
      <c r="B90" s="56">
        <v>8</v>
      </c>
      <c r="C90" s="57"/>
      <c r="D90" s="47" t="s">
        <v>565</v>
      </c>
      <c r="E90" s="57" t="s">
        <v>357</v>
      </c>
      <c r="F90" s="58" t="s">
        <v>566</v>
      </c>
      <c r="G90" s="59" t="s">
        <v>547</v>
      </c>
      <c r="H90" s="58"/>
      <c r="I90" s="57" t="s">
        <v>412</v>
      </c>
      <c r="J90" s="57" t="s">
        <v>432</v>
      </c>
      <c r="K90" s="57" t="s">
        <v>558</v>
      </c>
      <c r="L90" s="367">
        <v>45906</v>
      </c>
      <c r="M90" s="57" t="s">
        <v>483</v>
      </c>
      <c r="N90" s="58" t="s">
        <v>484</v>
      </c>
      <c r="O90" s="57" t="s">
        <v>397</v>
      </c>
      <c r="P90" s="57" t="s">
        <v>398</v>
      </c>
      <c r="Q90" s="57">
        <v>99.57</v>
      </c>
      <c r="R90" s="57">
        <v>1000</v>
      </c>
      <c r="S90" s="57" t="s">
        <v>218</v>
      </c>
      <c r="T90" s="57">
        <v>101.901</v>
      </c>
      <c r="U90" s="369"/>
      <c r="V90" s="57"/>
      <c r="W90" s="57"/>
      <c r="X90" s="57"/>
      <c r="Y90" s="57"/>
      <c r="Z90" s="57"/>
      <c r="AA90" s="57"/>
      <c r="AB90" s="57" t="s">
        <v>562</v>
      </c>
      <c r="AC90" s="247" t="s">
        <v>399</v>
      </c>
      <c r="AD90" s="57" t="s">
        <v>222</v>
      </c>
      <c r="AE90" s="373"/>
      <c r="AF90" s="225"/>
      <c r="AG90" s="225"/>
    </row>
    <row r="91" s="10" customFormat="1" ht="27.75" customHeight="1" spans="1:33">
      <c r="A91" s="348">
        <v>16</v>
      </c>
      <c r="B91" s="56">
        <v>1</v>
      </c>
      <c r="C91" s="57" t="s">
        <v>477</v>
      </c>
      <c r="D91" s="57" t="s">
        <v>363</v>
      </c>
      <c r="E91" s="57" t="s">
        <v>364</v>
      </c>
      <c r="F91" s="58" t="s">
        <v>567</v>
      </c>
      <c r="G91" s="59" t="s">
        <v>495</v>
      </c>
      <c r="H91" s="58"/>
      <c r="I91" s="57" t="s">
        <v>392</v>
      </c>
      <c r="J91" s="57" t="s">
        <v>393</v>
      </c>
      <c r="K91" s="57" t="s">
        <v>568</v>
      </c>
      <c r="L91" s="367">
        <v>45910</v>
      </c>
      <c r="M91" s="57" t="s">
        <v>569</v>
      </c>
      <c r="N91" s="57" t="s">
        <v>570</v>
      </c>
      <c r="O91" s="57" t="s">
        <v>397</v>
      </c>
      <c r="P91" s="57" t="s">
        <v>398</v>
      </c>
      <c r="Q91" s="57">
        <v>98</v>
      </c>
      <c r="R91" s="57">
        <v>1000</v>
      </c>
      <c r="S91" s="57" t="s">
        <v>218</v>
      </c>
      <c r="T91" s="57">
        <v>100.3312</v>
      </c>
      <c r="U91" s="57"/>
      <c r="V91" s="57"/>
      <c r="W91" s="57"/>
      <c r="X91" s="57"/>
      <c r="Y91" s="57"/>
      <c r="Z91" s="57"/>
      <c r="AA91" s="57"/>
      <c r="AB91" s="57" t="s">
        <v>568</v>
      </c>
      <c r="AC91" s="247" t="s">
        <v>399</v>
      </c>
      <c r="AD91" s="57" t="s">
        <v>222</v>
      </c>
      <c r="AE91" s="247"/>
      <c r="AF91" s="57"/>
      <c r="AG91" s="57"/>
    </row>
    <row r="92" s="10" customFormat="1" ht="27.75" customHeight="1" spans="1:33">
      <c r="A92" s="348">
        <v>16</v>
      </c>
      <c r="B92" s="56">
        <v>2</v>
      </c>
      <c r="C92" s="57"/>
      <c r="D92" s="57" t="s">
        <v>365</v>
      </c>
      <c r="E92" s="57" t="s">
        <v>364</v>
      </c>
      <c r="F92" s="58" t="s">
        <v>571</v>
      </c>
      <c r="G92" s="59" t="s">
        <v>495</v>
      </c>
      <c r="H92" s="58"/>
      <c r="I92" s="57" t="s">
        <v>412</v>
      </c>
      <c r="J92" s="57" t="s">
        <v>393</v>
      </c>
      <c r="K92" s="57" t="s">
        <v>568</v>
      </c>
      <c r="L92" s="367">
        <v>45910</v>
      </c>
      <c r="M92" s="57" t="s">
        <v>501</v>
      </c>
      <c r="N92" s="58" t="s">
        <v>502</v>
      </c>
      <c r="O92" s="57" t="s">
        <v>397</v>
      </c>
      <c r="P92" s="57" t="s">
        <v>398</v>
      </c>
      <c r="Q92" s="57">
        <v>99</v>
      </c>
      <c r="R92" s="57">
        <v>5000</v>
      </c>
      <c r="S92" s="57" t="s">
        <v>218</v>
      </c>
      <c r="T92" s="57">
        <v>101.331</v>
      </c>
      <c r="U92" s="57"/>
      <c r="V92" s="57"/>
      <c r="W92" s="57"/>
      <c r="X92" s="57"/>
      <c r="Y92" s="57"/>
      <c r="Z92" s="57"/>
      <c r="AA92" s="57"/>
      <c r="AB92" s="57" t="s">
        <v>568</v>
      </c>
      <c r="AC92" s="247" t="s">
        <v>399</v>
      </c>
      <c r="AD92" s="57" t="s">
        <v>222</v>
      </c>
      <c r="AE92" s="247"/>
      <c r="AF92" s="57"/>
      <c r="AG92" s="57"/>
    </row>
    <row r="93" s="10" customFormat="1" ht="27.75" customHeight="1" spans="1:33">
      <c r="A93" s="348">
        <v>16</v>
      </c>
      <c r="B93" s="56">
        <v>3</v>
      </c>
      <c r="C93" s="57"/>
      <c r="D93" s="57" t="s">
        <v>366</v>
      </c>
      <c r="E93" s="57" t="s">
        <v>364</v>
      </c>
      <c r="F93" s="58" t="s">
        <v>572</v>
      </c>
      <c r="G93" s="59" t="s">
        <v>495</v>
      </c>
      <c r="H93" s="58"/>
      <c r="I93" s="57" t="s">
        <v>416</v>
      </c>
      <c r="J93" s="57" t="s">
        <v>393</v>
      </c>
      <c r="K93" s="57" t="s">
        <v>568</v>
      </c>
      <c r="L93" s="367">
        <v>45908</v>
      </c>
      <c r="M93" s="57" t="s">
        <v>573</v>
      </c>
      <c r="N93" s="58" t="s">
        <v>574</v>
      </c>
      <c r="O93" s="57" t="s">
        <v>397</v>
      </c>
      <c r="P93" s="57" t="s">
        <v>398</v>
      </c>
      <c r="Q93" s="57">
        <v>99</v>
      </c>
      <c r="R93" s="57">
        <v>5000</v>
      </c>
      <c r="S93" s="57" t="s">
        <v>218</v>
      </c>
      <c r="T93" s="57">
        <v>101.331</v>
      </c>
      <c r="U93" s="57"/>
      <c r="V93" s="57"/>
      <c r="W93" s="57"/>
      <c r="X93" s="57"/>
      <c r="Y93" s="57"/>
      <c r="Z93" s="57"/>
      <c r="AA93" s="57"/>
      <c r="AB93" s="57" t="s">
        <v>568</v>
      </c>
      <c r="AC93" s="247" t="s">
        <v>399</v>
      </c>
      <c r="AD93" s="57" t="s">
        <v>222</v>
      </c>
      <c r="AE93" s="247"/>
      <c r="AF93" s="57"/>
      <c r="AG93" s="57"/>
    </row>
    <row r="94" s="10" customFormat="1" ht="27.75" customHeight="1" spans="1:33">
      <c r="A94" s="348">
        <v>17</v>
      </c>
      <c r="B94" s="56">
        <v>1</v>
      </c>
      <c r="C94" s="57" t="s">
        <v>477</v>
      </c>
      <c r="D94" s="57" t="s">
        <v>367</v>
      </c>
      <c r="E94" s="57" t="s">
        <v>368</v>
      </c>
      <c r="F94" s="58" t="s">
        <v>575</v>
      </c>
      <c r="G94" s="59" t="s">
        <v>495</v>
      </c>
      <c r="H94" s="58">
        <v>20250707</v>
      </c>
      <c r="I94" s="57" t="s">
        <v>392</v>
      </c>
      <c r="J94" s="57" t="s">
        <v>393</v>
      </c>
      <c r="K94" s="57" t="s">
        <v>576</v>
      </c>
      <c r="L94" s="367">
        <v>45910</v>
      </c>
      <c r="M94" s="57" t="s">
        <v>577</v>
      </c>
      <c r="N94" s="57" t="s">
        <v>578</v>
      </c>
      <c r="O94" s="57" t="s">
        <v>397</v>
      </c>
      <c r="P94" s="57" t="s">
        <v>398</v>
      </c>
      <c r="Q94" s="57">
        <v>98</v>
      </c>
      <c r="R94" s="57">
        <v>1000</v>
      </c>
      <c r="S94" s="57" t="s">
        <v>218</v>
      </c>
      <c r="T94" s="57">
        <v>100.3312</v>
      </c>
      <c r="U94" s="57"/>
      <c r="V94" s="57"/>
      <c r="W94" s="57"/>
      <c r="X94" s="57"/>
      <c r="Y94" s="57"/>
      <c r="Z94" s="57"/>
      <c r="AA94" s="228"/>
      <c r="AB94" s="57" t="s">
        <v>576</v>
      </c>
      <c r="AC94" s="373" t="s">
        <v>399</v>
      </c>
      <c r="AD94" s="57" t="s">
        <v>222</v>
      </c>
      <c r="AE94" s="376"/>
      <c r="AF94" s="228"/>
      <c r="AG94" s="228"/>
    </row>
    <row r="95" s="10" customFormat="1" ht="40.5" customHeight="1" spans="1:33">
      <c r="A95" s="348">
        <v>17</v>
      </c>
      <c r="B95" s="56">
        <v>2</v>
      </c>
      <c r="C95" s="57"/>
      <c r="D95" s="57" t="s">
        <v>369</v>
      </c>
      <c r="E95" s="57" t="s">
        <v>368</v>
      </c>
      <c r="F95" s="58" t="s">
        <v>579</v>
      </c>
      <c r="G95" s="59" t="s">
        <v>495</v>
      </c>
      <c r="H95" s="58">
        <v>20250707</v>
      </c>
      <c r="I95" s="57" t="s">
        <v>412</v>
      </c>
      <c r="J95" s="57" t="s">
        <v>393</v>
      </c>
      <c r="K95" s="57" t="s">
        <v>576</v>
      </c>
      <c r="L95" s="367">
        <v>45910</v>
      </c>
      <c r="M95" s="57" t="s">
        <v>580</v>
      </c>
      <c r="N95" s="58" t="s">
        <v>581</v>
      </c>
      <c r="O95" s="57" t="s">
        <v>397</v>
      </c>
      <c r="P95" s="57" t="s">
        <v>398</v>
      </c>
      <c r="Q95" s="57">
        <v>99</v>
      </c>
      <c r="R95" s="57">
        <v>5000</v>
      </c>
      <c r="S95" s="57" t="s">
        <v>218</v>
      </c>
      <c r="T95" s="57">
        <v>101.331</v>
      </c>
      <c r="U95" s="57"/>
      <c r="V95" s="57"/>
      <c r="W95" s="57"/>
      <c r="X95" s="57"/>
      <c r="Y95" s="57"/>
      <c r="Z95" s="57"/>
      <c r="AA95" s="228"/>
      <c r="AB95" s="57" t="s">
        <v>576</v>
      </c>
      <c r="AC95" s="373" t="s">
        <v>399</v>
      </c>
      <c r="AD95" s="57" t="s">
        <v>222</v>
      </c>
      <c r="AE95" s="376"/>
      <c r="AF95" s="228"/>
      <c r="AG95" s="228"/>
    </row>
    <row r="96" s="337" customFormat="1" ht="46.5" customHeight="1" spans="1:33">
      <c r="A96" s="211">
        <v>17</v>
      </c>
      <c r="B96" s="200">
        <v>3</v>
      </c>
      <c r="C96" s="58"/>
      <c r="D96" s="58" t="s">
        <v>370</v>
      </c>
      <c r="E96" s="58" t="s">
        <v>368</v>
      </c>
      <c r="F96" s="58" t="s">
        <v>582</v>
      </c>
      <c r="G96" s="59" t="s">
        <v>495</v>
      </c>
      <c r="H96" s="58">
        <v>20250707</v>
      </c>
      <c r="I96" s="58" t="s">
        <v>416</v>
      </c>
      <c r="J96" s="58" t="s">
        <v>393</v>
      </c>
      <c r="K96" s="58" t="s">
        <v>576</v>
      </c>
      <c r="L96" s="386">
        <v>45910</v>
      </c>
      <c r="M96" s="58" t="s">
        <v>543</v>
      </c>
      <c r="N96" s="58" t="s">
        <v>544</v>
      </c>
      <c r="O96" s="58" t="s">
        <v>397</v>
      </c>
      <c r="P96" s="58" t="s">
        <v>398</v>
      </c>
      <c r="Q96" s="58">
        <v>99</v>
      </c>
      <c r="R96" s="58">
        <v>5000</v>
      </c>
      <c r="S96" s="58" t="s">
        <v>218</v>
      </c>
      <c r="T96" s="58">
        <v>101.331</v>
      </c>
      <c r="U96" s="58"/>
      <c r="V96" s="58"/>
      <c r="W96" s="58"/>
      <c r="X96" s="58"/>
      <c r="Y96" s="58"/>
      <c r="Z96" s="58"/>
      <c r="AA96" s="392"/>
      <c r="AB96" s="58" t="s">
        <v>576</v>
      </c>
      <c r="AC96" s="393" t="s">
        <v>399</v>
      </c>
      <c r="AD96" s="58" t="s">
        <v>222</v>
      </c>
      <c r="AE96" s="394"/>
      <c r="AF96" s="392"/>
      <c r="AG96" s="392"/>
    </row>
    <row r="97" s="10" customFormat="1" ht="48.75" customHeight="1" spans="1:33">
      <c r="A97" s="348">
        <v>17</v>
      </c>
      <c r="B97" s="56">
        <v>4</v>
      </c>
      <c r="C97" s="57"/>
      <c r="D97" s="57" t="s">
        <v>371</v>
      </c>
      <c r="E97" s="57" t="s">
        <v>368</v>
      </c>
      <c r="F97" s="58" t="s">
        <v>583</v>
      </c>
      <c r="G97" s="59" t="s">
        <v>495</v>
      </c>
      <c r="H97" s="58">
        <v>20250707</v>
      </c>
      <c r="I97" s="57" t="s">
        <v>416</v>
      </c>
      <c r="J97" s="57" t="s">
        <v>393</v>
      </c>
      <c r="K97" s="57" t="s">
        <v>576</v>
      </c>
      <c r="L97" s="367">
        <v>45910</v>
      </c>
      <c r="M97" s="57" t="s">
        <v>584</v>
      </c>
      <c r="N97" s="58" t="s">
        <v>585</v>
      </c>
      <c r="O97" s="57" t="s">
        <v>397</v>
      </c>
      <c r="P97" s="57" t="s">
        <v>398</v>
      </c>
      <c r="Q97" s="57">
        <v>99</v>
      </c>
      <c r="R97" s="57">
        <v>5000</v>
      </c>
      <c r="S97" s="57" t="s">
        <v>218</v>
      </c>
      <c r="T97" s="57">
        <v>101.331</v>
      </c>
      <c r="U97" s="57"/>
      <c r="V97" s="57"/>
      <c r="W97" s="57"/>
      <c r="X97" s="57"/>
      <c r="Y97" s="57"/>
      <c r="Z97" s="57"/>
      <c r="AA97" s="225"/>
      <c r="AB97" s="57" t="s">
        <v>576</v>
      </c>
      <c r="AC97" s="373" t="s">
        <v>399</v>
      </c>
      <c r="AD97" s="57" t="s">
        <v>222</v>
      </c>
      <c r="AE97" s="373"/>
      <c r="AF97" s="225"/>
      <c r="AG97" s="225"/>
    </row>
    <row r="98" ht="24" spans="1:36">
      <c r="A98" s="25" t="s">
        <v>586</v>
      </c>
      <c r="B98" s="26">
        <v>1</v>
      </c>
      <c r="C98" s="25" t="s">
        <v>408</v>
      </c>
      <c r="D98" s="341" t="s">
        <v>316</v>
      </c>
      <c r="E98" s="28" t="s">
        <v>587</v>
      </c>
      <c r="F98" s="29" t="s">
        <v>588</v>
      </c>
      <c r="G98" s="30" t="s">
        <v>495</v>
      </c>
      <c r="H98" s="31" t="s">
        <v>402</v>
      </c>
      <c r="I98" s="32" t="s">
        <v>392</v>
      </c>
      <c r="J98" s="32" t="s">
        <v>393</v>
      </c>
      <c r="K98" s="25" t="s">
        <v>589</v>
      </c>
      <c r="L98" s="366">
        <v>45910</v>
      </c>
      <c r="M98" s="29" t="s">
        <v>395</v>
      </c>
      <c r="N98" s="29" t="s">
        <v>396</v>
      </c>
      <c r="O98" s="168" t="s">
        <v>397</v>
      </c>
      <c r="P98" s="25" t="s">
        <v>398</v>
      </c>
      <c r="Q98" s="168">
        <v>101</v>
      </c>
      <c r="R98" s="168">
        <v>1000</v>
      </c>
      <c r="S98" s="25" t="s">
        <v>218</v>
      </c>
      <c r="T98" s="25">
        <v>102.1052</v>
      </c>
      <c r="U98" s="389"/>
      <c r="V98" s="25"/>
      <c r="W98" s="25"/>
      <c r="X98" s="25"/>
      <c r="Y98" s="25"/>
      <c r="Z98" s="25"/>
      <c r="AA98" s="25"/>
      <c r="AB98" s="25" t="s">
        <v>589</v>
      </c>
      <c r="AC98" s="395" t="s">
        <v>399</v>
      </c>
      <c r="AD98" s="168" t="s">
        <v>222</v>
      </c>
      <c r="AE98" s="396" t="s">
        <v>590</v>
      </c>
      <c r="AF98" s="57"/>
      <c r="AG98" s="57"/>
      <c r="AH98" s="13"/>
      <c r="AI98" s="13"/>
      <c r="AJ98" s="13"/>
    </row>
    <row r="99" ht="23.25" customHeight="1" spans="1:36">
      <c r="A99" s="25" t="s">
        <v>586</v>
      </c>
      <c r="B99" s="26">
        <v>1</v>
      </c>
      <c r="C99" s="25"/>
      <c r="D99" s="137"/>
      <c r="E99" s="28"/>
      <c r="F99" s="29" t="s">
        <v>588</v>
      </c>
      <c r="G99" s="30" t="s">
        <v>495</v>
      </c>
      <c r="H99" s="31"/>
      <c r="I99" s="32" t="s">
        <v>392</v>
      </c>
      <c r="J99" s="32" t="s">
        <v>432</v>
      </c>
      <c r="K99" s="25" t="s">
        <v>589</v>
      </c>
      <c r="L99" s="366">
        <v>45910</v>
      </c>
      <c r="M99" s="29" t="s">
        <v>395</v>
      </c>
      <c r="N99" s="29" t="s">
        <v>396</v>
      </c>
      <c r="O99" s="168" t="s">
        <v>397</v>
      </c>
      <c r="P99" s="25" t="s">
        <v>398</v>
      </c>
      <c r="Q99" s="168">
        <v>101</v>
      </c>
      <c r="R99" s="168">
        <v>900</v>
      </c>
      <c r="S99" s="25" t="s">
        <v>218</v>
      </c>
      <c r="T99" s="389"/>
      <c r="U99" s="389"/>
      <c r="V99" s="25"/>
      <c r="W99" s="25"/>
      <c r="X99" s="25"/>
      <c r="Y99" s="25"/>
      <c r="Z99" s="25"/>
      <c r="AA99" s="25"/>
      <c r="AB99" s="25" t="s">
        <v>589</v>
      </c>
      <c r="AC99" s="395" t="s">
        <v>399</v>
      </c>
      <c r="AD99" s="168" t="s">
        <v>222</v>
      </c>
      <c r="AE99" s="396" t="s">
        <v>590</v>
      </c>
      <c r="AF99" s="57"/>
      <c r="AG99" s="57"/>
      <c r="AH99" s="13"/>
      <c r="AI99" s="13"/>
      <c r="AJ99" s="13"/>
    </row>
    <row r="100" ht="37.5" customHeight="1" spans="1:36">
      <c r="A100" s="25" t="s">
        <v>586</v>
      </c>
      <c r="B100" s="26">
        <v>1</v>
      </c>
      <c r="C100" s="25" t="s">
        <v>410</v>
      </c>
      <c r="D100" s="341" t="s">
        <v>319</v>
      </c>
      <c r="E100" s="28" t="s">
        <v>587</v>
      </c>
      <c r="F100" s="29" t="s">
        <v>591</v>
      </c>
      <c r="G100" s="30" t="s">
        <v>495</v>
      </c>
      <c r="H100" s="31" t="s">
        <v>411</v>
      </c>
      <c r="I100" s="32" t="s">
        <v>412</v>
      </c>
      <c r="J100" s="32" t="s">
        <v>393</v>
      </c>
      <c r="K100" s="25" t="s">
        <v>589</v>
      </c>
      <c r="L100" s="366">
        <v>45910</v>
      </c>
      <c r="M100" s="29" t="s">
        <v>413</v>
      </c>
      <c r="N100" s="29" t="s">
        <v>414</v>
      </c>
      <c r="O100" s="168" t="s">
        <v>397</v>
      </c>
      <c r="P100" s="25" t="s">
        <v>398</v>
      </c>
      <c r="Q100" s="168">
        <v>99</v>
      </c>
      <c r="R100" s="168">
        <v>1400</v>
      </c>
      <c r="S100" s="168" t="s">
        <v>218</v>
      </c>
      <c r="T100" s="25">
        <v>100.105</v>
      </c>
      <c r="U100" s="389"/>
      <c r="V100" s="25"/>
      <c r="W100" s="25"/>
      <c r="X100" s="25"/>
      <c r="Y100" s="25"/>
      <c r="Z100" s="25"/>
      <c r="AA100" s="25"/>
      <c r="AB100" s="25" t="s">
        <v>589</v>
      </c>
      <c r="AC100" s="395" t="s">
        <v>399</v>
      </c>
      <c r="AD100" s="168" t="s">
        <v>222</v>
      </c>
      <c r="AE100" s="396" t="s">
        <v>590</v>
      </c>
      <c r="AF100" s="57"/>
      <c r="AG100" s="57"/>
      <c r="AH100" s="13"/>
      <c r="AI100" s="13"/>
      <c r="AJ100" s="13"/>
    </row>
    <row r="101" ht="21.75" customHeight="1" spans="1:36">
      <c r="A101" s="25" t="s">
        <v>586</v>
      </c>
      <c r="B101" s="26">
        <v>1</v>
      </c>
      <c r="C101" s="25"/>
      <c r="D101" s="137"/>
      <c r="E101" s="28"/>
      <c r="F101" s="29" t="s">
        <v>591</v>
      </c>
      <c r="G101" s="30" t="s">
        <v>495</v>
      </c>
      <c r="H101" s="31"/>
      <c r="I101" s="32" t="s">
        <v>412</v>
      </c>
      <c r="J101" s="32" t="s">
        <v>393</v>
      </c>
      <c r="K101" s="25" t="s">
        <v>589</v>
      </c>
      <c r="L101" s="366">
        <v>45910</v>
      </c>
      <c r="M101" s="29" t="s">
        <v>413</v>
      </c>
      <c r="N101" s="29" t="s">
        <v>414</v>
      </c>
      <c r="O101" s="168" t="s">
        <v>397</v>
      </c>
      <c r="P101" s="25" t="s">
        <v>398</v>
      </c>
      <c r="Q101" s="168">
        <v>99</v>
      </c>
      <c r="R101" s="168">
        <v>1500</v>
      </c>
      <c r="S101" s="168" t="s">
        <v>218</v>
      </c>
      <c r="T101" s="389"/>
      <c r="U101" s="389"/>
      <c r="V101" s="25"/>
      <c r="W101" s="25"/>
      <c r="X101" s="25"/>
      <c r="Y101" s="25"/>
      <c r="Z101" s="25"/>
      <c r="AA101" s="25"/>
      <c r="AB101" s="25" t="s">
        <v>589</v>
      </c>
      <c r="AC101" s="395" t="s">
        <v>399</v>
      </c>
      <c r="AD101" s="168" t="s">
        <v>222</v>
      </c>
      <c r="AE101" s="396" t="s">
        <v>590</v>
      </c>
      <c r="AF101" s="57"/>
      <c r="AG101" s="57"/>
      <c r="AH101" s="13"/>
      <c r="AI101" s="13"/>
      <c r="AJ101" s="13"/>
    </row>
    <row r="102" s="13" customFormat="1" ht="27" customHeight="1" spans="1:33">
      <c r="A102" s="25" t="s">
        <v>592</v>
      </c>
      <c r="B102" s="26">
        <v>1</v>
      </c>
      <c r="C102" s="25" t="s">
        <v>408</v>
      </c>
      <c r="D102" s="381" t="s">
        <v>320</v>
      </c>
      <c r="E102" s="28" t="s">
        <v>593</v>
      </c>
      <c r="F102" s="29" t="s">
        <v>594</v>
      </c>
      <c r="G102" s="30" t="s">
        <v>495</v>
      </c>
      <c r="H102" s="31" t="s">
        <v>402</v>
      </c>
      <c r="I102" s="32" t="s">
        <v>392</v>
      </c>
      <c r="J102" s="32" t="s">
        <v>393</v>
      </c>
      <c r="K102" s="25" t="s">
        <v>595</v>
      </c>
      <c r="L102" s="366">
        <v>45910</v>
      </c>
      <c r="M102" s="29" t="s">
        <v>395</v>
      </c>
      <c r="N102" s="29" t="s">
        <v>396</v>
      </c>
      <c r="O102" s="225" t="s">
        <v>397</v>
      </c>
      <c r="P102" s="25" t="s">
        <v>398</v>
      </c>
      <c r="Q102" s="225">
        <v>101</v>
      </c>
      <c r="R102" s="225">
        <v>100</v>
      </c>
      <c r="S102" s="25" t="s">
        <v>218</v>
      </c>
      <c r="T102" s="25"/>
      <c r="U102" s="25"/>
      <c r="V102" s="25"/>
      <c r="W102" s="25"/>
      <c r="X102" s="25"/>
      <c r="Y102" s="25"/>
      <c r="Z102" s="25"/>
      <c r="AA102" s="25"/>
      <c r="AB102" s="25" t="s">
        <v>595</v>
      </c>
      <c r="AC102" s="395" t="s">
        <v>399</v>
      </c>
      <c r="AD102" s="168" t="s">
        <v>222</v>
      </c>
      <c r="AE102" s="397"/>
      <c r="AF102" s="25"/>
      <c r="AG102" s="25"/>
    </row>
    <row r="103" ht="28.5" customHeight="1" spans="1:36">
      <c r="A103" s="25" t="s">
        <v>592</v>
      </c>
      <c r="B103" s="26">
        <v>1</v>
      </c>
      <c r="C103" s="25" t="s">
        <v>410</v>
      </c>
      <c r="D103" s="381" t="s">
        <v>324</v>
      </c>
      <c r="E103" s="28" t="s">
        <v>593</v>
      </c>
      <c r="F103" s="29" t="s">
        <v>594</v>
      </c>
      <c r="G103" s="30" t="s">
        <v>495</v>
      </c>
      <c r="H103" s="31" t="s">
        <v>411</v>
      </c>
      <c r="I103" s="32" t="s">
        <v>392</v>
      </c>
      <c r="J103" s="32" t="s">
        <v>393</v>
      </c>
      <c r="K103" s="25" t="s">
        <v>595</v>
      </c>
      <c r="L103" s="366">
        <v>45910</v>
      </c>
      <c r="M103" s="29" t="s">
        <v>395</v>
      </c>
      <c r="N103" s="29" t="s">
        <v>396</v>
      </c>
      <c r="O103" s="225" t="s">
        <v>397</v>
      </c>
      <c r="P103" s="25" t="s">
        <v>398</v>
      </c>
      <c r="Q103" s="225">
        <v>99</v>
      </c>
      <c r="R103" s="225">
        <v>100</v>
      </c>
      <c r="S103" s="168" t="s">
        <v>218</v>
      </c>
      <c r="T103" s="25"/>
      <c r="U103" s="25"/>
      <c r="V103" s="25"/>
      <c r="W103" s="25"/>
      <c r="X103" s="25"/>
      <c r="Y103" s="25"/>
      <c r="Z103" s="25"/>
      <c r="AA103" s="25"/>
      <c r="AB103" s="25" t="s">
        <v>595</v>
      </c>
      <c r="AC103" s="395" t="s">
        <v>399</v>
      </c>
      <c r="AD103" s="168" t="s">
        <v>222</v>
      </c>
      <c r="AE103" s="397"/>
      <c r="AF103" s="25"/>
      <c r="AG103" s="25"/>
      <c r="AH103" s="13"/>
      <c r="AI103" s="13"/>
      <c r="AJ103" s="13"/>
    </row>
    <row r="104" ht="12" spans="31:36">
      <c r="AE104" s="374"/>
      <c r="AH104" s="13"/>
      <c r="AI104" s="13"/>
      <c r="AJ104" s="13"/>
    </row>
    <row r="105" ht="28.5" customHeight="1" spans="1:33">
      <c r="A105" s="320"/>
      <c r="B105" s="382"/>
      <c r="C105" s="320"/>
      <c r="D105" s="383"/>
      <c r="E105" s="384"/>
      <c r="F105" s="384"/>
      <c r="G105" s="384"/>
      <c r="H105" s="385"/>
      <c r="I105" s="320"/>
      <c r="J105" s="320"/>
      <c r="K105" s="320"/>
      <c r="L105" s="387"/>
      <c r="M105" s="384"/>
      <c r="N105" s="384"/>
      <c r="O105" s="388"/>
      <c r="P105" s="320"/>
      <c r="Q105" s="388"/>
      <c r="R105" s="388"/>
      <c r="S105" s="390"/>
      <c r="T105" s="320"/>
      <c r="U105" s="320"/>
      <c r="V105" s="320"/>
      <c r="W105" s="320"/>
      <c r="X105" s="320"/>
      <c r="Y105" s="320"/>
      <c r="Z105" s="320"/>
      <c r="AA105" s="320"/>
      <c r="AB105" s="384"/>
      <c r="AC105" s="390"/>
      <c r="AD105" s="390"/>
      <c r="AE105" s="320"/>
      <c r="AF105" s="320"/>
      <c r="AG105" s="320"/>
    </row>
    <row r="106" ht="28.5" customHeight="1" spans="1:33">
      <c r="A106" s="320"/>
      <c r="B106" s="382"/>
      <c r="C106" s="320"/>
      <c r="D106" s="383"/>
      <c r="E106" s="384"/>
      <c r="F106" s="384"/>
      <c r="G106" s="384"/>
      <c r="H106" s="385"/>
      <c r="I106" s="320"/>
      <c r="J106" s="320"/>
      <c r="K106" s="320"/>
      <c r="L106" s="387"/>
      <c r="M106" s="384"/>
      <c r="N106" s="384"/>
      <c r="O106" s="388"/>
      <c r="P106" s="320"/>
      <c r="Q106" s="388"/>
      <c r="R106" s="388"/>
      <c r="S106" s="390"/>
      <c r="T106" s="320"/>
      <c r="U106" s="320"/>
      <c r="V106" s="320"/>
      <c r="W106" s="320"/>
      <c r="X106" s="320"/>
      <c r="Y106" s="320"/>
      <c r="Z106" s="320"/>
      <c r="AA106" s="320"/>
      <c r="AB106" s="384"/>
      <c r="AC106" s="390"/>
      <c r="AD106" s="390"/>
      <c r="AE106" s="320"/>
      <c r="AF106" s="320"/>
      <c r="AG106" s="320"/>
    </row>
    <row r="107" ht="28.5" customHeight="1" spans="1:33">
      <c r="A107" s="320"/>
      <c r="B107" s="382"/>
      <c r="C107" s="320"/>
      <c r="D107" s="383"/>
      <c r="E107" s="384"/>
      <c r="F107" s="384"/>
      <c r="G107" s="384"/>
      <c r="H107" s="385"/>
      <c r="I107" s="320"/>
      <c r="J107" s="320"/>
      <c r="K107" s="320"/>
      <c r="L107" s="387"/>
      <c r="M107" s="384"/>
      <c r="N107" s="384"/>
      <c r="O107" s="388"/>
      <c r="P107" s="320"/>
      <c r="Q107" s="388"/>
      <c r="R107" s="388"/>
      <c r="S107" s="390"/>
      <c r="T107" s="320"/>
      <c r="U107" s="320"/>
      <c r="V107" s="320"/>
      <c r="W107" s="320"/>
      <c r="X107" s="320"/>
      <c r="Y107" s="320"/>
      <c r="Z107" s="320"/>
      <c r="AA107" s="320"/>
      <c r="AB107" s="384"/>
      <c r="AC107" s="390"/>
      <c r="AD107" s="390"/>
      <c r="AE107" s="320"/>
      <c r="AF107" s="320"/>
      <c r="AG107" s="320"/>
    </row>
    <row r="108" ht="28.5" customHeight="1" spans="1:33">
      <c r="A108" s="320"/>
      <c r="B108" s="382"/>
      <c r="C108" s="320"/>
      <c r="D108" s="383"/>
      <c r="E108" s="384"/>
      <c r="F108" s="384"/>
      <c r="G108" s="384"/>
      <c r="H108" s="385"/>
      <c r="I108" s="320"/>
      <c r="J108" s="320"/>
      <c r="K108" s="320"/>
      <c r="L108" s="387"/>
      <c r="M108" s="384"/>
      <c r="N108" s="384"/>
      <c r="O108" s="388"/>
      <c r="P108" s="320"/>
      <c r="Q108" s="388"/>
      <c r="R108" s="388"/>
      <c r="S108" s="390"/>
      <c r="T108" s="320"/>
      <c r="U108" s="320"/>
      <c r="V108" s="320"/>
      <c r="W108" s="320"/>
      <c r="X108" s="320"/>
      <c r="Y108" s="320"/>
      <c r="Z108" s="320"/>
      <c r="AA108" s="320"/>
      <c r="AB108" s="384"/>
      <c r="AC108" s="390"/>
      <c r="AD108" s="390"/>
      <c r="AE108" s="320"/>
      <c r="AF108" s="320"/>
      <c r="AG108" s="320"/>
    </row>
    <row r="109" ht="28.5" customHeight="1" spans="1:33">
      <c r="A109" s="320"/>
      <c r="B109" s="382"/>
      <c r="C109" s="320"/>
      <c r="D109" s="383"/>
      <c r="E109" s="384"/>
      <c r="F109" s="384"/>
      <c r="G109" s="384"/>
      <c r="H109" s="385"/>
      <c r="I109" s="320"/>
      <c r="J109" s="320"/>
      <c r="K109" s="320"/>
      <c r="L109" s="387"/>
      <c r="M109" s="384"/>
      <c r="N109" s="384"/>
      <c r="O109" s="388"/>
      <c r="P109" s="320"/>
      <c r="Q109" s="388"/>
      <c r="R109" s="388"/>
      <c r="S109" s="390"/>
      <c r="T109" s="320"/>
      <c r="U109" s="320"/>
      <c r="V109" s="320"/>
      <c r="W109" s="320"/>
      <c r="X109" s="320"/>
      <c r="Y109" s="320"/>
      <c r="Z109" s="320"/>
      <c r="AA109" s="320"/>
      <c r="AB109" s="384"/>
      <c r="AC109" s="390"/>
      <c r="AD109" s="390"/>
      <c r="AE109" s="320"/>
      <c r="AF109" s="320"/>
      <c r="AG109" s="320"/>
    </row>
    <row r="110" ht="28.5" customHeight="1" spans="1:33">
      <c r="A110" s="320"/>
      <c r="B110" s="382"/>
      <c r="C110" s="320"/>
      <c r="D110" s="383"/>
      <c r="E110" s="384"/>
      <c r="F110" s="384"/>
      <c r="G110" s="384"/>
      <c r="H110" s="385"/>
      <c r="I110" s="320"/>
      <c r="J110" s="320"/>
      <c r="K110" s="320"/>
      <c r="L110" s="387"/>
      <c r="M110" s="384"/>
      <c r="N110" s="384"/>
      <c r="O110" s="388"/>
      <c r="P110" s="320"/>
      <c r="Q110" s="388"/>
      <c r="R110" s="388"/>
      <c r="S110" s="390"/>
      <c r="T110" s="320"/>
      <c r="U110" s="320"/>
      <c r="V110" s="320"/>
      <c r="W110" s="320"/>
      <c r="X110" s="320"/>
      <c r="Y110" s="320"/>
      <c r="Z110" s="320"/>
      <c r="AA110" s="320"/>
      <c r="AB110" s="384"/>
      <c r="AC110" s="390"/>
      <c r="AD110" s="390"/>
      <c r="AE110" s="320"/>
      <c r="AF110" s="320"/>
      <c r="AG110" s="320"/>
    </row>
    <row r="111" ht="28.5" customHeight="1" spans="1:33">
      <c r="A111" s="320"/>
      <c r="B111" s="382"/>
      <c r="C111" s="320"/>
      <c r="D111" s="383"/>
      <c r="E111" s="384"/>
      <c r="F111" s="384"/>
      <c r="G111" s="384"/>
      <c r="H111" s="385"/>
      <c r="I111" s="320"/>
      <c r="J111" s="320"/>
      <c r="K111" s="320"/>
      <c r="L111" s="387"/>
      <c r="M111" s="384"/>
      <c r="N111" s="384"/>
      <c r="O111" s="388"/>
      <c r="P111" s="320"/>
      <c r="Q111" s="388"/>
      <c r="R111" s="388"/>
      <c r="S111" s="390"/>
      <c r="T111" s="320"/>
      <c r="U111" s="320"/>
      <c r="V111" s="320"/>
      <c r="W111" s="320"/>
      <c r="X111" s="320"/>
      <c r="Y111" s="320"/>
      <c r="Z111" s="320"/>
      <c r="AA111" s="320"/>
      <c r="AB111" s="384"/>
      <c r="AC111" s="390"/>
      <c r="AD111" s="390"/>
      <c r="AE111" s="320"/>
      <c r="AF111" s="320"/>
      <c r="AG111" s="320"/>
    </row>
    <row r="112" ht="28.5" customHeight="1" spans="1:33">
      <c r="A112" s="320"/>
      <c r="B112" s="382"/>
      <c r="C112" s="320"/>
      <c r="D112" s="383"/>
      <c r="E112" s="384"/>
      <c r="F112" s="384"/>
      <c r="G112" s="384"/>
      <c r="H112" s="385"/>
      <c r="I112" s="320"/>
      <c r="J112" s="320"/>
      <c r="K112" s="320"/>
      <c r="L112" s="387"/>
      <c r="M112" s="384"/>
      <c r="N112" s="384"/>
      <c r="O112" s="388"/>
      <c r="P112" s="320"/>
      <c r="Q112" s="388"/>
      <c r="R112" s="388"/>
      <c r="S112" s="390"/>
      <c r="T112" s="320"/>
      <c r="U112" s="320"/>
      <c r="V112" s="320"/>
      <c r="W112" s="320"/>
      <c r="X112" s="320"/>
      <c r="Y112" s="320"/>
      <c r="Z112" s="320"/>
      <c r="AA112" s="320"/>
      <c r="AB112" s="384"/>
      <c r="AC112" s="390"/>
      <c r="AD112" s="390"/>
      <c r="AE112" s="320"/>
      <c r="AF112" s="320"/>
      <c r="AG112" s="320"/>
    </row>
    <row r="113" ht="28.5" customHeight="1" spans="1:33">
      <c r="A113" s="320"/>
      <c r="B113" s="382"/>
      <c r="C113" s="320"/>
      <c r="D113" s="383"/>
      <c r="E113" s="384"/>
      <c r="F113" s="384"/>
      <c r="G113" s="384"/>
      <c r="H113" s="385"/>
      <c r="I113" s="320"/>
      <c r="J113" s="320"/>
      <c r="K113" s="320"/>
      <c r="L113" s="387"/>
      <c r="M113" s="384"/>
      <c r="N113" s="384"/>
      <c r="O113" s="388"/>
      <c r="P113" s="320"/>
      <c r="Q113" s="388"/>
      <c r="R113" s="388"/>
      <c r="S113" s="390"/>
      <c r="T113" s="320"/>
      <c r="U113" s="320"/>
      <c r="V113" s="320"/>
      <c r="W113" s="320"/>
      <c r="X113" s="320"/>
      <c r="Y113" s="320"/>
      <c r="Z113" s="320"/>
      <c r="AA113" s="320"/>
      <c r="AB113" s="384"/>
      <c r="AC113" s="390"/>
      <c r="AD113" s="390"/>
      <c r="AE113" s="320"/>
      <c r="AF113" s="320"/>
      <c r="AG113" s="320"/>
    </row>
    <row r="114" ht="28.5" customHeight="1" spans="1:33">
      <c r="A114" s="320"/>
      <c r="B114" s="382"/>
      <c r="C114" s="320"/>
      <c r="D114" s="383"/>
      <c r="E114" s="384"/>
      <c r="F114" s="384"/>
      <c r="G114" s="384"/>
      <c r="H114" s="385"/>
      <c r="I114" s="320"/>
      <c r="J114" s="320"/>
      <c r="K114" s="320"/>
      <c r="L114" s="387"/>
      <c r="M114" s="384"/>
      <c r="N114" s="384"/>
      <c r="O114" s="388"/>
      <c r="P114" s="320"/>
      <c r="Q114" s="388"/>
      <c r="R114" s="388"/>
      <c r="S114" s="390"/>
      <c r="T114" s="320"/>
      <c r="U114" s="320"/>
      <c r="V114" s="320"/>
      <c r="W114" s="320"/>
      <c r="X114" s="320"/>
      <c r="Y114" s="320"/>
      <c r="Z114" s="320"/>
      <c r="AA114" s="320"/>
      <c r="AB114" s="384"/>
      <c r="AC114" s="390"/>
      <c r="AD114" s="390"/>
      <c r="AE114" s="320"/>
      <c r="AF114" s="320"/>
      <c r="AG114" s="320"/>
    </row>
  </sheetData>
  <mergeCells count="2">
    <mergeCell ref="D98:D99"/>
    <mergeCell ref="D100:D101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基金用例库"/>
  <dimension ref="A1:AT177"/>
  <sheetViews>
    <sheetView workbookViewId="0">
      <selection activeCell="A1" sqref="A1"/>
    </sheetView>
  </sheetViews>
  <sheetFormatPr defaultColWidth="14" defaultRowHeight="18" customHeight="1"/>
  <cols>
    <col min="1" max="2" width="10.712962962963" customWidth="1"/>
    <col min="3" max="3" width="16.712962962963" customWidth="1"/>
    <col min="4" max="4" width="19.6944444444444" customWidth="1"/>
    <col min="5" max="5" width="17.712962962963" customWidth="1"/>
    <col min="6" max="6" width="23.7407407407407" customWidth="1"/>
    <col min="7" max="7" width="19.2777777777778" customWidth="1"/>
    <col min="8" max="8" width="18.6574074074074" customWidth="1"/>
    <col min="9" max="9" width="11.712962962963" customWidth="1"/>
    <col min="10" max="10" width="53.2777777777778" customWidth="1"/>
    <col min="11" max="11" width="19.712962962963" customWidth="1"/>
    <col min="12" max="12" width="10.712962962963" customWidth="1"/>
    <col min="13" max="13" width="13.712962962963" customWidth="1"/>
    <col min="14" max="14" width="21.5833333333333" style="312" customWidth="1"/>
    <col min="15" max="15" width="21.5833333333333" customWidth="1"/>
    <col min="16" max="16" width="15.712962962963" customWidth="1"/>
    <col min="17" max="17" width="23.712962962963" customWidth="1"/>
    <col min="18" max="18" width="19.712962962963" customWidth="1"/>
    <col min="19" max="19" width="13.8240740740741" customWidth="1"/>
    <col min="20" max="20" width="17.712962962963" customWidth="1"/>
    <col min="21" max="21" width="25.712962962963" customWidth="1"/>
    <col min="22" max="22" width="15.712962962963" customWidth="1"/>
    <col min="23" max="23" width="10.712962962963" customWidth="1"/>
    <col min="24" max="24" width="12.712962962963" customWidth="1"/>
    <col min="25" max="25" width="21.712962962963" customWidth="1"/>
    <col min="26" max="46" width="13.712962962963" customWidth="1"/>
  </cols>
  <sheetData>
    <row r="1" s="2" customFormat="1" ht="44.25" customHeight="1" spans="1:46">
      <c r="A1" s="313" t="s">
        <v>0</v>
      </c>
      <c r="B1" s="313" t="s">
        <v>372</v>
      </c>
      <c r="C1" s="313" t="s">
        <v>374</v>
      </c>
      <c r="D1" s="313" t="s">
        <v>1</v>
      </c>
      <c r="E1" s="313" t="s">
        <v>2</v>
      </c>
      <c r="F1" s="313" t="s">
        <v>176</v>
      </c>
      <c r="G1" s="313" t="s">
        <v>211</v>
      </c>
      <c r="H1" s="314" t="s">
        <v>212</v>
      </c>
      <c r="I1" s="321" t="s">
        <v>596</v>
      </c>
      <c r="J1" s="321" t="s">
        <v>597</v>
      </c>
      <c r="K1" s="301" t="s">
        <v>147</v>
      </c>
      <c r="L1" s="301" t="s">
        <v>375</v>
      </c>
      <c r="M1" s="321" t="s">
        <v>185</v>
      </c>
      <c r="N1" s="322" t="s">
        <v>598</v>
      </c>
      <c r="O1" s="314" t="s">
        <v>188</v>
      </c>
      <c r="P1" s="314" t="s">
        <v>189</v>
      </c>
      <c r="Q1" s="301" t="s">
        <v>599</v>
      </c>
      <c r="R1" s="321" t="s">
        <v>600</v>
      </c>
      <c r="S1" s="321" t="s">
        <v>601</v>
      </c>
      <c r="T1" s="314" t="s">
        <v>602</v>
      </c>
      <c r="U1" s="313" t="s">
        <v>603</v>
      </c>
      <c r="V1" s="313" t="s">
        <v>604</v>
      </c>
      <c r="W1" s="313" t="s">
        <v>605</v>
      </c>
      <c r="X1" s="313" t="s">
        <v>209</v>
      </c>
      <c r="Y1" s="313" t="s">
        <v>210</v>
      </c>
      <c r="Z1" s="332"/>
      <c r="AA1" s="332"/>
      <c r="AB1" s="332"/>
      <c r="AC1" s="332"/>
      <c r="AD1" s="332"/>
      <c r="AE1" s="332"/>
      <c r="AF1" s="332"/>
      <c r="AG1" s="332"/>
      <c r="AH1" s="332"/>
      <c r="AI1" s="332"/>
      <c r="AJ1" s="332"/>
      <c r="AK1" s="332"/>
      <c r="AL1" s="332"/>
      <c r="AM1" s="332"/>
      <c r="AN1" s="332"/>
      <c r="AO1" s="332"/>
      <c r="AP1" s="332"/>
      <c r="AQ1" s="332"/>
      <c r="AR1" s="332"/>
      <c r="AS1" s="332"/>
      <c r="AT1" s="332"/>
    </row>
    <row r="2" ht="42.75" customHeight="1" spans="1:46">
      <c r="A2" s="25" t="s">
        <v>606</v>
      </c>
      <c r="B2" s="25" t="s">
        <v>421</v>
      </c>
      <c r="C2" s="25" t="s">
        <v>607</v>
      </c>
      <c r="D2" s="315" t="s">
        <v>173</v>
      </c>
      <c r="E2" s="25" t="s">
        <v>608</v>
      </c>
      <c r="F2" s="29" t="s">
        <v>609</v>
      </c>
      <c r="G2" s="58" t="s">
        <v>610</v>
      </c>
      <c r="H2" s="58"/>
      <c r="I2" s="25" t="s">
        <v>611</v>
      </c>
      <c r="J2" s="25" t="s">
        <v>612</v>
      </c>
      <c r="K2" s="25" t="s">
        <v>613</v>
      </c>
      <c r="L2" s="315" t="s">
        <v>608</v>
      </c>
      <c r="M2" s="323">
        <v>45826</v>
      </c>
      <c r="N2" s="84">
        <v>45827</v>
      </c>
      <c r="O2" s="25"/>
      <c r="P2" s="25"/>
      <c r="Q2" s="25">
        <v>1100000</v>
      </c>
      <c r="R2" s="25">
        <v>1.1</v>
      </c>
      <c r="S2" s="25">
        <f>Q2/R2</f>
        <v>1000000</v>
      </c>
      <c r="T2" s="189"/>
      <c r="U2" s="25"/>
      <c r="V2" s="25"/>
      <c r="W2" s="25"/>
      <c r="X2" s="57" t="s">
        <v>399</v>
      </c>
      <c r="Y2" s="57" t="s">
        <v>222</v>
      </c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320"/>
      <c r="AK2" s="320"/>
      <c r="AL2" s="320"/>
      <c r="AM2" s="320"/>
      <c r="AN2" s="320"/>
      <c r="AO2" s="320"/>
      <c r="AP2" s="320"/>
      <c r="AQ2" s="320"/>
      <c r="AR2" s="320"/>
      <c r="AS2" s="320"/>
      <c r="AT2" s="320"/>
    </row>
    <row r="3" ht="38.25" customHeight="1" spans="1:46">
      <c r="A3" s="25" t="s">
        <v>614</v>
      </c>
      <c r="B3" s="25" t="s">
        <v>421</v>
      </c>
      <c r="C3" s="25" t="s">
        <v>607</v>
      </c>
      <c r="D3" s="25" t="s">
        <v>173</v>
      </c>
      <c r="E3" s="25" t="s">
        <v>615</v>
      </c>
      <c r="F3" s="29" t="s">
        <v>609</v>
      </c>
      <c r="G3" s="58" t="s">
        <v>616</v>
      </c>
      <c r="H3" s="58"/>
      <c r="I3" s="25" t="s">
        <v>611</v>
      </c>
      <c r="J3" s="25" t="s">
        <v>612</v>
      </c>
      <c r="K3" s="25" t="s">
        <v>613</v>
      </c>
      <c r="L3" s="25" t="s">
        <v>615</v>
      </c>
      <c r="M3" s="323">
        <v>45833</v>
      </c>
      <c r="N3" s="84">
        <v>45834</v>
      </c>
      <c r="O3" s="25"/>
      <c r="P3" s="25"/>
      <c r="Q3" s="25">
        <v>1200000</v>
      </c>
      <c r="R3" s="25">
        <v>1.12</v>
      </c>
      <c r="S3" s="25">
        <f>Q3/R3</f>
        <v>1071428.57142857</v>
      </c>
      <c r="T3" s="189"/>
      <c r="U3" s="25"/>
      <c r="V3" s="25"/>
      <c r="W3" s="25"/>
      <c r="X3" s="57" t="s">
        <v>399</v>
      </c>
      <c r="Y3" s="57" t="s">
        <v>222</v>
      </c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</row>
    <row r="4" ht="41.25" customHeight="1" spans="1:46">
      <c r="A4" s="25" t="s">
        <v>617</v>
      </c>
      <c r="B4" s="25" t="s">
        <v>421</v>
      </c>
      <c r="C4" s="25" t="s">
        <v>607</v>
      </c>
      <c r="D4" s="25" t="s">
        <v>173</v>
      </c>
      <c r="E4" s="25" t="s">
        <v>618</v>
      </c>
      <c r="F4" s="29" t="s">
        <v>609</v>
      </c>
      <c r="G4" s="58" t="s">
        <v>619</v>
      </c>
      <c r="H4" s="58"/>
      <c r="I4" s="25" t="s">
        <v>611</v>
      </c>
      <c r="J4" s="25" t="s">
        <v>612</v>
      </c>
      <c r="K4" s="25" t="s">
        <v>613</v>
      </c>
      <c r="L4" s="25" t="s">
        <v>620</v>
      </c>
      <c r="M4" s="323">
        <v>45839</v>
      </c>
      <c r="N4" s="84">
        <v>45840</v>
      </c>
      <c r="O4" s="25"/>
      <c r="P4" s="25"/>
      <c r="Q4" s="25">
        <f>R4*S4</f>
        <v>1250000</v>
      </c>
      <c r="R4" s="25">
        <v>1.25</v>
      </c>
      <c r="S4" s="25">
        <v>1000000</v>
      </c>
      <c r="T4" s="189"/>
      <c r="U4" s="25"/>
      <c r="V4" s="25"/>
      <c r="W4" s="25"/>
      <c r="X4" s="57" t="s">
        <v>399</v>
      </c>
      <c r="Y4" s="57" t="s">
        <v>222</v>
      </c>
      <c r="Z4" s="320"/>
      <c r="AA4" s="320"/>
      <c r="AB4" s="320"/>
      <c r="AC4" s="320"/>
      <c r="AD4" s="320"/>
      <c r="AE4" s="320"/>
      <c r="AF4" s="320"/>
      <c r="AG4" s="320"/>
      <c r="AH4" s="320"/>
      <c r="AI4" s="320"/>
      <c r="AJ4" s="320"/>
      <c r="AK4" s="320"/>
      <c r="AL4" s="320"/>
      <c r="AM4" s="320"/>
      <c r="AN4" s="320"/>
      <c r="AO4" s="320"/>
      <c r="AP4" s="320"/>
      <c r="AQ4" s="320"/>
      <c r="AR4" s="320"/>
      <c r="AS4" s="320"/>
      <c r="AT4" s="320"/>
    </row>
    <row r="5" ht="37.5" customHeight="1" spans="1:46">
      <c r="A5" s="25" t="s">
        <v>621</v>
      </c>
      <c r="B5" s="25" t="s">
        <v>421</v>
      </c>
      <c r="C5" s="25" t="s">
        <v>607</v>
      </c>
      <c r="D5" s="25" t="s">
        <v>173</v>
      </c>
      <c r="E5" s="29" t="s">
        <v>622</v>
      </c>
      <c r="F5" s="29" t="s">
        <v>609</v>
      </c>
      <c r="G5" s="58" t="s">
        <v>623</v>
      </c>
      <c r="H5" s="58"/>
      <c r="I5" s="25" t="s">
        <v>624</v>
      </c>
      <c r="J5" s="25" t="s">
        <v>625</v>
      </c>
      <c r="K5" s="25" t="s">
        <v>613</v>
      </c>
      <c r="L5" s="25" t="s">
        <v>615</v>
      </c>
      <c r="M5" s="323">
        <v>45839</v>
      </c>
      <c r="N5" s="84">
        <v>45840</v>
      </c>
      <c r="O5" s="25"/>
      <c r="P5" s="25"/>
      <c r="Q5" s="25">
        <v>1400000</v>
      </c>
      <c r="R5" s="25">
        <v>1</v>
      </c>
      <c r="S5" s="25">
        <f t="shared" ref="S5:S10" si="0">Q5/R5</f>
        <v>1400000</v>
      </c>
      <c r="T5" s="189"/>
      <c r="U5" s="25"/>
      <c r="V5" s="25"/>
      <c r="W5" s="25"/>
      <c r="X5" s="57" t="s">
        <v>399</v>
      </c>
      <c r="Y5" s="57" t="s">
        <v>222</v>
      </c>
      <c r="Z5" s="320"/>
      <c r="AA5" s="320"/>
      <c r="AB5" s="320"/>
      <c r="AC5" s="320"/>
      <c r="AD5" s="320"/>
      <c r="AE5" s="320"/>
      <c r="AF5" s="320"/>
      <c r="AG5" s="320"/>
      <c r="AH5" s="320"/>
      <c r="AI5" s="320"/>
      <c r="AJ5" s="320"/>
      <c r="AK5" s="320"/>
      <c r="AL5" s="320"/>
      <c r="AM5" s="320"/>
      <c r="AN5" s="320"/>
      <c r="AO5" s="320"/>
      <c r="AP5" s="320"/>
      <c r="AQ5" s="320"/>
      <c r="AR5" s="320"/>
      <c r="AS5" s="320"/>
      <c r="AT5" s="320"/>
    </row>
    <row r="6" s="310" customFormat="1" ht="38.25" customHeight="1" spans="1:46">
      <c r="A6" s="316" t="s">
        <v>626</v>
      </c>
      <c r="B6" s="316" t="s">
        <v>421</v>
      </c>
      <c r="C6" s="316" t="s">
        <v>607</v>
      </c>
      <c r="D6" s="316" t="s">
        <v>173</v>
      </c>
      <c r="E6" s="317" t="s">
        <v>627</v>
      </c>
      <c r="F6" s="317" t="s">
        <v>609</v>
      </c>
      <c r="G6" s="317" t="s">
        <v>628</v>
      </c>
      <c r="H6" s="317"/>
      <c r="I6" s="316" t="s">
        <v>611</v>
      </c>
      <c r="J6" s="316" t="s">
        <v>612</v>
      </c>
      <c r="K6" s="316" t="s">
        <v>629</v>
      </c>
      <c r="L6" s="316" t="s">
        <v>615</v>
      </c>
      <c r="M6" s="324">
        <v>45848</v>
      </c>
      <c r="N6" s="325">
        <v>45849</v>
      </c>
      <c r="O6" s="316"/>
      <c r="P6" s="316"/>
      <c r="Q6" s="316">
        <v>1300000</v>
      </c>
      <c r="R6" s="316">
        <v>1.14</v>
      </c>
      <c r="S6" s="316">
        <f t="shared" si="0"/>
        <v>1140350.87719298</v>
      </c>
      <c r="T6" s="330"/>
      <c r="U6" s="316"/>
      <c r="V6" s="316"/>
      <c r="W6" s="316"/>
      <c r="X6" s="57" t="s">
        <v>399</v>
      </c>
      <c r="Y6" s="57" t="s">
        <v>222</v>
      </c>
      <c r="Z6" s="333"/>
      <c r="AA6" s="333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</row>
    <row r="7" ht="39.75" customHeight="1" spans="1:46">
      <c r="A7" s="25" t="s">
        <v>630</v>
      </c>
      <c r="B7" s="25" t="s">
        <v>421</v>
      </c>
      <c r="C7" s="25" t="s">
        <v>631</v>
      </c>
      <c r="D7" s="25" t="s">
        <v>173</v>
      </c>
      <c r="E7" s="25" t="s">
        <v>615</v>
      </c>
      <c r="F7" s="29" t="s">
        <v>609</v>
      </c>
      <c r="G7" s="58" t="s">
        <v>632</v>
      </c>
      <c r="H7" s="58"/>
      <c r="I7" s="25" t="s">
        <v>633</v>
      </c>
      <c r="J7" s="25" t="s">
        <v>634</v>
      </c>
      <c r="K7" s="25" t="s">
        <v>613</v>
      </c>
      <c r="L7" s="25" t="s">
        <v>615</v>
      </c>
      <c r="M7" s="323">
        <v>45839</v>
      </c>
      <c r="N7" s="84">
        <v>45839</v>
      </c>
      <c r="O7" s="25"/>
      <c r="P7" s="25"/>
      <c r="Q7" s="25">
        <v>2100000</v>
      </c>
      <c r="R7" s="25">
        <v>1</v>
      </c>
      <c r="S7" s="25">
        <f t="shared" si="0"/>
        <v>2100000</v>
      </c>
      <c r="T7" s="189"/>
      <c r="U7" s="25"/>
      <c r="V7" s="25"/>
      <c r="W7" s="25"/>
      <c r="X7" s="57" t="s">
        <v>399</v>
      </c>
      <c r="Y7" s="57" t="s">
        <v>222</v>
      </c>
      <c r="Z7" s="320"/>
      <c r="AA7" s="320"/>
      <c r="AB7" s="320"/>
      <c r="AC7" s="320"/>
      <c r="AD7" s="320"/>
      <c r="AE7" s="320"/>
      <c r="AF7" s="320"/>
      <c r="AG7" s="320"/>
      <c r="AH7" s="320"/>
      <c r="AI7" s="320"/>
      <c r="AJ7" s="320"/>
      <c r="AK7" s="320"/>
      <c r="AL7" s="320"/>
      <c r="AM7" s="320"/>
      <c r="AN7" s="320"/>
      <c r="AO7" s="320"/>
      <c r="AP7" s="320"/>
      <c r="AQ7" s="320"/>
      <c r="AR7" s="320"/>
      <c r="AS7" s="320"/>
      <c r="AT7" s="320"/>
    </row>
    <row r="8" ht="39.75" customHeight="1" spans="1:46">
      <c r="A8" s="25" t="s">
        <v>635</v>
      </c>
      <c r="B8" s="25" t="s">
        <v>421</v>
      </c>
      <c r="C8" s="25" t="s">
        <v>631</v>
      </c>
      <c r="D8" s="25" t="s">
        <v>173</v>
      </c>
      <c r="E8" s="29" t="s">
        <v>636</v>
      </c>
      <c r="F8" s="29" t="s">
        <v>609</v>
      </c>
      <c r="G8" s="58" t="s">
        <v>637</v>
      </c>
      <c r="H8" s="58"/>
      <c r="I8" s="25" t="s">
        <v>633</v>
      </c>
      <c r="J8" s="25" t="s">
        <v>634</v>
      </c>
      <c r="K8" s="25" t="s">
        <v>638</v>
      </c>
      <c r="L8" s="25" t="s">
        <v>615</v>
      </c>
      <c r="M8" s="323">
        <v>45841</v>
      </c>
      <c r="N8" s="84">
        <v>45841</v>
      </c>
      <c r="O8" s="25"/>
      <c r="P8" s="25"/>
      <c r="Q8" s="25">
        <v>2200000</v>
      </c>
      <c r="R8" s="25">
        <v>1</v>
      </c>
      <c r="S8" s="25">
        <f t="shared" si="0"/>
        <v>2200000</v>
      </c>
      <c r="T8" s="189"/>
      <c r="U8" s="25"/>
      <c r="V8" s="25"/>
      <c r="W8" s="25"/>
      <c r="X8" s="57" t="s">
        <v>399</v>
      </c>
      <c r="Y8" s="57" t="s">
        <v>222</v>
      </c>
      <c r="Z8" s="320"/>
      <c r="AA8" s="320"/>
      <c r="AB8" s="320"/>
      <c r="AC8" s="320"/>
      <c r="AD8" s="320"/>
      <c r="AE8" s="320"/>
      <c r="AF8" s="320"/>
      <c r="AG8" s="320"/>
      <c r="AH8" s="320"/>
      <c r="AI8" s="320"/>
      <c r="AJ8" s="320"/>
      <c r="AK8" s="320"/>
      <c r="AL8" s="320"/>
      <c r="AM8" s="320"/>
      <c r="AN8" s="320"/>
      <c r="AO8" s="320"/>
      <c r="AP8" s="320"/>
      <c r="AQ8" s="320"/>
      <c r="AR8" s="320"/>
      <c r="AS8" s="320"/>
      <c r="AT8" s="320"/>
    </row>
    <row r="9" ht="39.75" customHeight="1" spans="1:46">
      <c r="A9" s="25" t="s">
        <v>639</v>
      </c>
      <c r="B9" s="25" t="s">
        <v>421</v>
      </c>
      <c r="C9" s="25" t="s">
        <v>631</v>
      </c>
      <c r="D9" s="25" t="s">
        <v>173</v>
      </c>
      <c r="E9" s="25" t="s">
        <v>615</v>
      </c>
      <c r="F9" s="29" t="s">
        <v>609</v>
      </c>
      <c r="G9" s="58" t="s">
        <v>640</v>
      </c>
      <c r="H9" s="58"/>
      <c r="I9" s="25" t="s">
        <v>633</v>
      </c>
      <c r="J9" s="25" t="s">
        <v>634</v>
      </c>
      <c r="K9" s="25" t="s">
        <v>613</v>
      </c>
      <c r="L9" s="25" t="s">
        <v>615</v>
      </c>
      <c r="M9" s="323">
        <v>45842</v>
      </c>
      <c r="N9" s="84">
        <v>45842</v>
      </c>
      <c r="O9" s="25"/>
      <c r="P9" s="25"/>
      <c r="Q9" s="25">
        <v>2300000</v>
      </c>
      <c r="R9" s="25">
        <v>1</v>
      </c>
      <c r="S9" s="25">
        <f t="shared" si="0"/>
        <v>2300000</v>
      </c>
      <c r="T9" s="189"/>
      <c r="U9" s="25"/>
      <c r="V9" s="25"/>
      <c r="W9" s="25"/>
      <c r="X9" s="57" t="s">
        <v>399</v>
      </c>
      <c r="Y9" s="57" t="s">
        <v>222</v>
      </c>
      <c r="Z9" s="320"/>
      <c r="AA9" s="320"/>
      <c r="AB9" s="320"/>
      <c r="AC9" s="320"/>
      <c r="AD9" s="320"/>
      <c r="AE9" s="320"/>
      <c r="AF9" s="320"/>
      <c r="AG9" s="320"/>
      <c r="AH9" s="320"/>
      <c r="AI9" s="320"/>
      <c r="AJ9" s="320"/>
      <c r="AK9" s="320"/>
      <c r="AL9" s="320"/>
      <c r="AM9" s="320"/>
      <c r="AN9" s="320"/>
      <c r="AO9" s="320"/>
      <c r="AP9" s="320"/>
      <c r="AQ9" s="320"/>
      <c r="AR9" s="320"/>
      <c r="AS9" s="320"/>
      <c r="AT9" s="320"/>
    </row>
    <row r="10" ht="41.25" customHeight="1" spans="1:46">
      <c r="A10" s="25" t="s">
        <v>641</v>
      </c>
      <c r="B10" s="25" t="s">
        <v>421</v>
      </c>
      <c r="C10" s="25" t="s">
        <v>642</v>
      </c>
      <c r="D10" s="25" t="s">
        <v>173</v>
      </c>
      <c r="E10" s="25" t="s">
        <v>393</v>
      </c>
      <c r="F10" s="29" t="s">
        <v>609</v>
      </c>
      <c r="G10" s="58" t="s">
        <v>643</v>
      </c>
      <c r="H10" s="58"/>
      <c r="I10" s="25" t="s">
        <v>633</v>
      </c>
      <c r="J10" s="25" t="s">
        <v>634</v>
      </c>
      <c r="K10" s="25" t="s">
        <v>613</v>
      </c>
      <c r="L10" s="25" t="s">
        <v>393</v>
      </c>
      <c r="M10" s="323">
        <v>45845</v>
      </c>
      <c r="N10" s="84">
        <v>45845</v>
      </c>
      <c r="O10" s="25"/>
      <c r="P10" s="25"/>
      <c r="Q10" s="25">
        <v>52400000</v>
      </c>
      <c r="R10" s="25">
        <v>1</v>
      </c>
      <c r="S10" s="25">
        <f t="shared" si="0"/>
        <v>52400000</v>
      </c>
      <c r="T10" s="25"/>
      <c r="U10" s="25"/>
      <c r="V10" s="25"/>
      <c r="W10" s="25"/>
      <c r="X10" s="57" t="s">
        <v>399</v>
      </c>
      <c r="Y10" s="57" t="s">
        <v>222</v>
      </c>
      <c r="Z10" s="320"/>
      <c r="AA10" s="320"/>
      <c r="AB10" s="320"/>
      <c r="AC10" s="320"/>
      <c r="AD10" s="320"/>
      <c r="AE10" s="320"/>
      <c r="AF10" s="320"/>
      <c r="AG10" s="320"/>
      <c r="AH10" s="320"/>
      <c r="AI10" s="320"/>
      <c r="AJ10" s="320"/>
      <c r="AK10" s="320"/>
      <c r="AL10" s="320"/>
      <c r="AM10" s="320"/>
      <c r="AN10" s="320"/>
      <c r="AO10" s="320"/>
      <c r="AP10" s="320"/>
      <c r="AQ10" s="320"/>
      <c r="AR10" s="320"/>
      <c r="AS10" s="320"/>
      <c r="AT10" s="320"/>
    </row>
    <row r="11" ht="39.75" customHeight="1" spans="1:46">
      <c r="A11" s="25" t="s">
        <v>644</v>
      </c>
      <c r="B11" s="25" t="s">
        <v>421</v>
      </c>
      <c r="C11" s="25" t="s">
        <v>642</v>
      </c>
      <c r="D11" s="25" t="s">
        <v>173</v>
      </c>
      <c r="E11" s="25" t="s">
        <v>120</v>
      </c>
      <c r="F11" s="29" t="s">
        <v>609</v>
      </c>
      <c r="G11" s="58" t="s">
        <v>645</v>
      </c>
      <c r="H11" s="58"/>
      <c r="I11" s="25" t="s">
        <v>633</v>
      </c>
      <c r="J11" s="25" t="s">
        <v>634</v>
      </c>
      <c r="K11" s="25" t="s">
        <v>613</v>
      </c>
      <c r="L11" s="25" t="s">
        <v>432</v>
      </c>
      <c r="M11" s="323">
        <v>45847</v>
      </c>
      <c r="N11" s="84">
        <v>45847</v>
      </c>
      <c r="O11" s="25"/>
      <c r="P11" s="25"/>
      <c r="Q11" s="331">
        <f>R11*S11</f>
        <v>68728000</v>
      </c>
      <c r="R11" s="25">
        <v>1.1</v>
      </c>
      <c r="S11" s="331">
        <v>62480000</v>
      </c>
      <c r="T11" s="25"/>
      <c r="U11" s="25"/>
      <c r="V11" s="25"/>
      <c r="W11" s="25"/>
      <c r="X11" s="57" t="s">
        <v>399</v>
      </c>
      <c r="Y11" s="57" t="s">
        <v>222</v>
      </c>
      <c r="Z11" s="320"/>
      <c r="AA11" s="320"/>
      <c r="AB11" s="320"/>
      <c r="AC11" s="320"/>
      <c r="AD11" s="320"/>
      <c r="AE11" s="320"/>
      <c r="AF11" s="320"/>
      <c r="AG11" s="320"/>
      <c r="AH11" s="320"/>
      <c r="AI11" s="320"/>
      <c r="AJ11" s="320"/>
      <c r="AK11" s="320"/>
      <c r="AL11" s="320"/>
      <c r="AM11" s="320"/>
      <c r="AN11" s="320"/>
      <c r="AO11" s="320"/>
      <c r="AP11" s="320"/>
      <c r="AQ11" s="320"/>
      <c r="AR11" s="320"/>
      <c r="AS11" s="320"/>
      <c r="AT11" s="320"/>
    </row>
    <row r="12" ht="39" customHeight="1" spans="1:46">
      <c r="A12" s="25" t="s">
        <v>646</v>
      </c>
      <c r="B12" s="25" t="s">
        <v>421</v>
      </c>
      <c r="C12" s="25" t="s">
        <v>642</v>
      </c>
      <c r="D12" s="25" t="s">
        <v>173</v>
      </c>
      <c r="E12" s="25" t="s">
        <v>393</v>
      </c>
      <c r="F12" s="29" t="s">
        <v>609</v>
      </c>
      <c r="G12" s="58" t="s">
        <v>647</v>
      </c>
      <c r="H12" s="58"/>
      <c r="I12" s="25" t="s">
        <v>633</v>
      </c>
      <c r="J12" s="25" t="s">
        <v>634</v>
      </c>
      <c r="K12" s="25" t="s">
        <v>613</v>
      </c>
      <c r="L12" s="25" t="s">
        <v>393</v>
      </c>
      <c r="M12" s="323">
        <v>45848</v>
      </c>
      <c r="N12" s="84">
        <v>45848</v>
      </c>
      <c r="O12" s="25"/>
      <c r="P12" s="25"/>
      <c r="Q12" s="25">
        <v>2500000</v>
      </c>
      <c r="R12" s="25">
        <v>1</v>
      </c>
      <c r="S12" s="25">
        <f>Q12/R12</f>
        <v>2500000</v>
      </c>
      <c r="T12" s="25"/>
      <c r="U12" s="25"/>
      <c r="V12" s="25"/>
      <c r="W12" s="25"/>
      <c r="X12" s="57" t="s">
        <v>399</v>
      </c>
      <c r="Y12" s="57" t="s">
        <v>222</v>
      </c>
      <c r="Z12" s="320"/>
      <c r="AA12" s="320"/>
      <c r="AB12" s="320"/>
      <c r="AC12" s="320"/>
      <c r="AD12" s="320"/>
      <c r="AE12" s="320"/>
      <c r="AF12" s="320"/>
      <c r="AG12" s="320"/>
      <c r="AH12" s="320"/>
      <c r="AI12" s="320"/>
      <c r="AJ12" s="320"/>
      <c r="AK12" s="320"/>
      <c r="AL12" s="320"/>
      <c r="AM12" s="320"/>
      <c r="AN12" s="320"/>
      <c r="AO12" s="320"/>
      <c r="AP12" s="320"/>
      <c r="AQ12" s="320"/>
      <c r="AR12" s="320"/>
      <c r="AS12" s="320"/>
      <c r="AT12" s="320"/>
    </row>
    <row r="13" s="311" customFormat="1" ht="14.4" spans="1:46">
      <c r="A13" s="318"/>
      <c r="B13" s="318"/>
      <c r="C13" s="318"/>
      <c r="D13" s="318"/>
      <c r="E13" s="318"/>
      <c r="F13" s="318"/>
      <c r="G13" s="318"/>
      <c r="H13" s="319"/>
      <c r="I13" s="318"/>
      <c r="J13" s="318"/>
      <c r="K13" s="318"/>
      <c r="L13" s="318"/>
      <c r="M13" s="326"/>
      <c r="N13" s="327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34"/>
      <c r="AA13" s="334"/>
      <c r="AB13" s="334"/>
      <c r="AC13" s="334"/>
      <c r="AD13" s="334"/>
      <c r="AE13" s="334"/>
      <c r="AF13" s="334"/>
      <c r="AG13" s="334"/>
      <c r="AH13" s="334"/>
      <c r="AI13" s="334"/>
      <c r="AJ13" s="334"/>
      <c r="AK13" s="334"/>
      <c r="AL13" s="334"/>
      <c r="AM13" s="334"/>
      <c r="AN13" s="334"/>
      <c r="AO13" s="334"/>
      <c r="AP13" s="334"/>
      <c r="AQ13" s="334"/>
      <c r="AR13" s="334"/>
      <c r="AS13" s="334"/>
      <c r="AT13" s="334"/>
    </row>
    <row r="14" ht="42.75" customHeight="1" spans="1:46">
      <c r="A14" s="25" t="s">
        <v>606</v>
      </c>
      <c r="B14" s="25" t="s">
        <v>421</v>
      </c>
      <c r="C14" s="25" t="s">
        <v>607</v>
      </c>
      <c r="D14" s="25" t="s">
        <v>172</v>
      </c>
      <c r="E14" s="25" t="s">
        <v>608</v>
      </c>
      <c r="F14" s="29" t="s">
        <v>609</v>
      </c>
      <c r="G14" s="58" t="s">
        <v>610</v>
      </c>
      <c r="H14" s="58"/>
      <c r="I14" s="25" t="s">
        <v>611</v>
      </c>
      <c r="J14" s="25" t="s">
        <v>612</v>
      </c>
      <c r="K14" s="25" t="s">
        <v>648</v>
      </c>
      <c r="L14" s="25" t="s">
        <v>608</v>
      </c>
      <c r="M14" s="323">
        <v>45826</v>
      </c>
      <c r="N14" s="84">
        <v>45827</v>
      </c>
      <c r="O14" s="25"/>
      <c r="P14" s="25"/>
      <c r="Q14" s="25">
        <v>1100000</v>
      </c>
      <c r="R14" s="25">
        <v>1.1</v>
      </c>
      <c r="S14" s="25">
        <f>Q14/R14</f>
        <v>1000000</v>
      </c>
      <c r="T14" s="189"/>
      <c r="U14" s="25"/>
      <c r="V14" s="25"/>
      <c r="W14" s="25"/>
      <c r="X14" s="57" t="s">
        <v>399</v>
      </c>
      <c r="Y14" s="57" t="s">
        <v>222</v>
      </c>
      <c r="Z14" s="320"/>
      <c r="AA14" s="320"/>
      <c r="AB14" s="320"/>
      <c r="AC14" s="320"/>
      <c r="AD14" s="320"/>
      <c r="AE14" s="320"/>
      <c r="AF14" s="320"/>
      <c r="AG14" s="320"/>
      <c r="AH14" s="320"/>
      <c r="AI14" s="320"/>
      <c r="AJ14" s="320"/>
      <c r="AK14" s="320"/>
      <c r="AL14" s="320"/>
      <c r="AM14" s="320"/>
      <c r="AN14" s="320"/>
      <c r="AO14" s="320"/>
      <c r="AP14" s="320"/>
      <c r="AQ14" s="320"/>
      <c r="AR14" s="320"/>
      <c r="AS14" s="320"/>
      <c r="AT14" s="320"/>
    </row>
    <row r="15" ht="39" customHeight="1" spans="1:46">
      <c r="A15" s="25" t="s">
        <v>614</v>
      </c>
      <c r="B15" s="25" t="s">
        <v>421</v>
      </c>
      <c r="C15" s="25" t="s">
        <v>607</v>
      </c>
      <c r="D15" s="25" t="s">
        <v>172</v>
      </c>
      <c r="E15" s="25" t="s">
        <v>615</v>
      </c>
      <c r="F15" s="29" t="s">
        <v>609</v>
      </c>
      <c r="G15" s="58" t="s">
        <v>616</v>
      </c>
      <c r="H15" s="58"/>
      <c r="I15" s="25" t="s">
        <v>611</v>
      </c>
      <c r="J15" s="25" t="s">
        <v>612</v>
      </c>
      <c r="K15" s="25" t="s">
        <v>648</v>
      </c>
      <c r="L15" s="25" t="s">
        <v>615</v>
      </c>
      <c r="M15" s="323">
        <v>45833</v>
      </c>
      <c r="N15" s="84">
        <v>45834</v>
      </c>
      <c r="O15" s="25"/>
      <c r="P15" s="25"/>
      <c r="Q15" s="25">
        <v>1200000</v>
      </c>
      <c r="R15" s="25">
        <v>1.12</v>
      </c>
      <c r="S15" s="25">
        <f>Q15/R15</f>
        <v>1071428.57142857</v>
      </c>
      <c r="T15" s="189"/>
      <c r="U15" s="25"/>
      <c r="V15" s="25"/>
      <c r="W15" s="25"/>
      <c r="X15" s="57" t="s">
        <v>399</v>
      </c>
      <c r="Y15" s="57" t="s">
        <v>222</v>
      </c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0"/>
      <c r="AS15" s="320"/>
      <c r="AT15" s="320"/>
    </row>
    <row r="16" ht="36.75" customHeight="1" spans="1:46">
      <c r="A16" s="25" t="s">
        <v>617</v>
      </c>
      <c r="B16" s="25" t="s">
        <v>421</v>
      </c>
      <c r="C16" s="25" t="s">
        <v>607</v>
      </c>
      <c r="D16" s="25" t="s">
        <v>172</v>
      </c>
      <c r="E16" s="25" t="s">
        <v>618</v>
      </c>
      <c r="F16" s="29" t="s">
        <v>609</v>
      </c>
      <c r="G16" s="58" t="s">
        <v>619</v>
      </c>
      <c r="H16" s="58"/>
      <c r="I16" s="25" t="s">
        <v>611</v>
      </c>
      <c r="J16" s="25" t="s">
        <v>612</v>
      </c>
      <c r="K16" s="25" t="s">
        <v>648</v>
      </c>
      <c r="L16" s="25" t="s">
        <v>620</v>
      </c>
      <c r="M16" s="323">
        <v>45839</v>
      </c>
      <c r="N16" s="84">
        <v>45840</v>
      </c>
      <c r="O16" s="25"/>
      <c r="P16" s="25"/>
      <c r="Q16" s="25">
        <f>R16*S16</f>
        <v>1250000</v>
      </c>
      <c r="R16" s="25">
        <v>1.25</v>
      </c>
      <c r="S16" s="25">
        <v>1000000</v>
      </c>
      <c r="T16" s="189"/>
      <c r="U16" s="25"/>
      <c r="V16" s="25"/>
      <c r="W16" s="25"/>
      <c r="X16" s="57" t="s">
        <v>399</v>
      </c>
      <c r="Y16" s="57" t="s">
        <v>222</v>
      </c>
      <c r="Z16" s="320"/>
      <c r="AA16" s="320"/>
      <c r="AB16" s="320"/>
      <c r="AC16" s="320"/>
      <c r="AD16" s="320"/>
      <c r="AE16" s="320"/>
      <c r="AF16" s="320"/>
      <c r="AG16" s="320"/>
      <c r="AH16" s="320"/>
      <c r="AI16" s="320"/>
      <c r="AJ16" s="320"/>
      <c r="AK16" s="320"/>
      <c r="AL16" s="320"/>
      <c r="AM16" s="320"/>
      <c r="AN16" s="320"/>
      <c r="AO16" s="320"/>
      <c r="AP16" s="320"/>
      <c r="AQ16" s="320"/>
      <c r="AR16" s="320"/>
      <c r="AS16" s="320"/>
      <c r="AT16" s="320"/>
    </row>
    <row r="17" ht="40.5" customHeight="1" spans="1:46">
      <c r="A17" s="25" t="s">
        <v>621</v>
      </c>
      <c r="B17" s="25" t="s">
        <v>421</v>
      </c>
      <c r="C17" s="25" t="s">
        <v>607</v>
      </c>
      <c r="D17" s="25" t="s">
        <v>172</v>
      </c>
      <c r="E17" s="29" t="s">
        <v>622</v>
      </c>
      <c r="F17" s="29" t="s">
        <v>609</v>
      </c>
      <c r="G17" s="58" t="s">
        <v>623</v>
      </c>
      <c r="H17" s="58"/>
      <c r="I17" s="25" t="s">
        <v>624</v>
      </c>
      <c r="J17" s="25" t="s">
        <v>625</v>
      </c>
      <c r="K17" s="25" t="s">
        <v>648</v>
      </c>
      <c r="L17" s="25" t="s">
        <v>615</v>
      </c>
      <c r="M17" s="323">
        <v>45839</v>
      </c>
      <c r="N17" s="84">
        <v>45840</v>
      </c>
      <c r="O17" s="25"/>
      <c r="P17" s="25"/>
      <c r="Q17" s="25">
        <v>1400000</v>
      </c>
      <c r="R17" s="25">
        <v>1</v>
      </c>
      <c r="S17" s="25">
        <f t="shared" ref="S17:S22" si="1">Q17/R17</f>
        <v>1400000</v>
      </c>
      <c r="T17" s="189"/>
      <c r="U17" s="25"/>
      <c r="V17" s="25"/>
      <c r="W17" s="25"/>
      <c r="X17" s="57" t="s">
        <v>399</v>
      </c>
      <c r="Y17" s="57" t="s">
        <v>222</v>
      </c>
      <c r="Z17" s="320"/>
      <c r="AA17" s="320"/>
      <c r="AB17" s="320"/>
      <c r="AC17" s="320"/>
      <c r="AD17" s="320"/>
      <c r="AE17" s="320"/>
      <c r="AF17" s="320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  <c r="AS17" s="320"/>
      <c r="AT17" s="320"/>
    </row>
    <row r="18" s="310" customFormat="1" ht="42" customHeight="1" spans="1:46">
      <c r="A18" s="316" t="s">
        <v>626</v>
      </c>
      <c r="B18" s="316" t="s">
        <v>421</v>
      </c>
      <c r="C18" s="316" t="s">
        <v>607</v>
      </c>
      <c r="D18" s="25" t="s">
        <v>172</v>
      </c>
      <c r="E18" s="317" t="s">
        <v>627</v>
      </c>
      <c r="F18" s="317" t="s">
        <v>609</v>
      </c>
      <c r="G18" s="317" t="s">
        <v>628</v>
      </c>
      <c r="H18" s="317"/>
      <c r="I18" s="316" t="s">
        <v>611</v>
      </c>
      <c r="J18" s="316" t="s">
        <v>612</v>
      </c>
      <c r="K18" s="316" t="s">
        <v>649</v>
      </c>
      <c r="L18" s="316" t="s">
        <v>615</v>
      </c>
      <c r="M18" s="324">
        <v>45848</v>
      </c>
      <c r="N18" s="325">
        <v>45849</v>
      </c>
      <c r="O18" s="316"/>
      <c r="P18" s="316"/>
      <c r="Q18" s="316">
        <v>1300000</v>
      </c>
      <c r="R18" s="316">
        <v>1.14</v>
      </c>
      <c r="S18" s="316">
        <f t="shared" si="1"/>
        <v>1140350.87719298</v>
      </c>
      <c r="T18" s="330"/>
      <c r="U18" s="316"/>
      <c r="V18" s="316"/>
      <c r="W18" s="316"/>
      <c r="X18" s="57" t="s">
        <v>399</v>
      </c>
      <c r="Y18" s="57" t="s">
        <v>222</v>
      </c>
      <c r="Z18" s="333"/>
      <c r="AA18" s="333"/>
      <c r="AB18" s="333"/>
      <c r="AC18" s="333"/>
      <c r="AD18" s="333"/>
      <c r="AE18" s="333"/>
      <c r="AF18" s="333"/>
      <c r="AG18" s="333"/>
      <c r="AH18" s="333"/>
      <c r="AI18" s="333"/>
      <c r="AJ18" s="333"/>
      <c r="AK18" s="333"/>
      <c r="AL18" s="333"/>
      <c r="AM18" s="333"/>
      <c r="AN18" s="333"/>
      <c r="AO18" s="333"/>
      <c r="AP18" s="333"/>
      <c r="AQ18" s="333"/>
      <c r="AR18" s="333"/>
      <c r="AS18" s="333"/>
      <c r="AT18" s="333"/>
    </row>
    <row r="19" ht="42.75" customHeight="1" spans="1:46">
      <c r="A19" s="25" t="s">
        <v>630</v>
      </c>
      <c r="B19" s="25" t="s">
        <v>421</v>
      </c>
      <c r="C19" s="25" t="s">
        <v>631</v>
      </c>
      <c r="D19" s="25" t="s">
        <v>172</v>
      </c>
      <c r="E19" s="25" t="s">
        <v>615</v>
      </c>
      <c r="F19" s="29" t="s">
        <v>609</v>
      </c>
      <c r="G19" s="58" t="s">
        <v>632</v>
      </c>
      <c r="H19" s="58"/>
      <c r="I19" s="25" t="s">
        <v>633</v>
      </c>
      <c r="J19" s="25" t="s">
        <v>634</v>
      </c>
      <c r="K19" s="25" t="s">
        <v>648</v>
      </c>
      <c r="L19" s="25" t="s">
        <v>615</v>
      </c>
      <c r="M19" s="323">
        <v>45839</v>
      </c>
      <c r="N19" s="84">
        <v>45839</v>
      </c>
      <c r="O19" s="25"/>
      <c r="P19" s="25"/>
      <c r="Q19" s="25">
        <v>2100000</v>
      </c>
      <c r="R19" s="25">
        <v>1</v>
      </c>
      <c r="S19" s="25">
        <f t="shared" si="1"/>
        <v>2100000</v>
      </c>
      <c r="T19" s="189"/>
      <c r="U19" s="25"/>
      <c r="V19" s="25"/>
      <c r="W19" s="25"/>
      <c r="X19" s="57" t="s">
        <v>399</v>
      </c>
      <c r="Y19" s="57" t="s">
        <v>222</v>
      </c>
      <c r="Z19" s="320"/>
      <c r="AA19" s="320"/>
      <c r="AB19" s="320"/>
      <c r="AC19" s="320"/>
      <c r="AD19" s="320"/>
      <c r="AE19" s="320"/>
      <c r="AF19" s="320"/>
      <c r="AG19" s="320"/>
      <c r="AH19" s="320"/>
      <c r="AI19" s="320"/>
      <c r="AJ19" s="320"/>
      <c r="AK19" s="320"/>
      <c r="AL19" s="320"/>
      <c r="AM19" s="320"/>
      <c r="AN19" s="320"/>
      <c r="AO19" s="320"/>
      <c r="AP19" s="320"/>
      <c r="AQ19" s="320"/>
      <c r="AR19" s="320"/>
      <c r="AS19" s="320"/>
      <c r="AT19" s="320"/>
    </row>
    <row r="20" ht="39.75" customHeight="1" spans="1:46">
      <c r="A20" s="25" t="s">
        <v>635</v>
      </c>
      <c r="B20" s="25" t="s">
        <v>421</v>
      </c>
      <c r="C20" s="25" t="s">
        <v>631</v>
      </c>
      <c r="D20" s="25" t="s">
        <v>172</v>
      </c>
      <c r="E20" s="29" t="s">
        <v>636</v>
      </c>
      <c r="F20" s="29" t="s">
        <v>609</v>
      </c>
      <c r="G20" s="58" t="s">
        <v>637</v>
      </c>
      <c r="H20" s="58"/>
      <c r="I20" s="25" t="s">
        <v>633</v>
      </c>
      <c r="J20" s="25" t="s">
        <v>634</v>
      </c>
      <c r="K20" s="25" t="s">
        <v>650</v>
      </c>
      <c r="L20" s="25" t="s">
        <v>615</v>
      </c>
      <c r="M20" s="323">
        <v>45841</v>
      </c>
      <c r="N20" s="84">
        <v>45841</v>
      </c>
      <c r="O20" s="25"/>
      <c r="P20" s="25"/>
      <c r="Q20" s="25">
        <v>2200000</v>
      </c>
      <c r="R20" s="25">
        <v>1</v>
      </c>
      <c r="S20" s="25">
        <f t="shared" si="1"/>
        <v>2200000</v>
      </c>
      <c r="T20" s="189"/>
      <c r="U20" s="25"/>
      <c r="V20" s="25"/>
      <c r="W20" s="25"/>
      <c r="X20" s="57" t="s">
        <v>399</v>
      </c>
      <c r="Y20" s="57" t="s">
        <v>222</v>
      </c>
      <c r="Z20" s="320"/>
      <c r="AA20" s="320"/>
      <c r="AB20" s="320"/>
      <c r="AC20" s="320"/>
      <c r="AD20" s="320"/>
      <c r="AE20" s="320"/>
      <c r="AF20" s="320"/>
      <c r="AG20" s="320"/>
      <c r="AH20" s="320"/>
      <c r="AI20" s="320"/>
      <c r="AJ20" s="320"/>
      <c r="AK20" s="320"/>
      <c r="AL20" s="320"/>
      <c r="AM20" s="320"/>
      <c r="AN20" s="320"/>
      <c r="AO20" s="320"/>
      <c r="AP20" s="320"/>
      <c r="AQ20" s="320"/>
      <c r="AR20" s="320"/>
      <c r="AS20" s="320"/>
      <c r="AT20" s="320"/>
    </row>
    <row r="21" ht="39" customHeight="1" spans="1:46">
      <c r="A21" s="25" t="s">
        <v>639</v>
      </c>
      <c r="B21" s="25" t="s">
        <v>421</v>
      </c>
      <c r="C21" s="25" t="s">
        <v>631</v>
      </c>
      <c r="D21" s="25" t="s">
        <v>172</v>
      </c>
      <c r="E21" s="25" t="s">
        <v>615</v>
      </c>
      <c r="F21" s="29" t="s">
        <v>609</v>
      </c>
      <c r="G21" s="58" t="s">
        <v>640</v>
      </c>
      <c r="H21" s="58"/>
      <c r="I21" s="25" t="s">
        <v>633</v>
      </c>
      <c r="J21" s="25" t="s">
        <v>634</v>
      </c>
      <c r="K21" s="25" t="s">
        <v>648</v>
      </c>
      <c r="L21" s="25" t="s">
        <v>615</v>
      </c>
      <c r="M21" s="323">
        <v>45842</v>
      </c>
      <c r="N21" s="84">
        <v>45842</v>
      </c>
      <c r="O21" s="25"/>
      <c r="P21" s="25"/>
      <c r="Q21" s="25">
        <v>2300000</v>
      </c>
      <c r="R21" s="25">
        <v>1</v>
      </c>
      <c r="S21" s="25">
        <f t="shared" si="1"/>
        <v>2300000</v>
      </c>
      <c r="T21" s="189"/>
      <c r="U21" s="25"/>
      <c r="V21" s="25"/>
      <c r="W21" s="25"/>
      <c r="X21" s="57" t="s">
        <v>399</v>
      </c>
      <c r="Y21" s="57" t="s">
        <v>222</v>
      </c>
      <c r="Z21" s="320"/>
      <c r="AA21" s="320"/>
      <c r="AB21" s="320"/>
      <c r="AC21" s="320"/>
      <c r="AD21" s="320"/>
      <c r="AE21" s="320"/>
      <c r="AF21" s="320"/>
      <c r="AG21" s="320"/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0"/>
      <c r="AT21" s="320"/>
    </row>
    <row r="22" ht="38.25" customHeight="1" spans="1:46">
      <c r="A22" s="25" t="s">
        <v>641</v>
      </c>
      <c r="B22" s="25" t="s">
        <v>421</v>
      </c>
      <c r="C22" s="25" t="s">
        <v>642</v>
      </c>
      <c r="D22" s="25" t="s">
        <v>172</v>
      </c>
      <c r="E22" s="25" t="s">
        <v>393</v>
      </c>
      <c r="F22" s="29" t="s">
        <v>609</v>
      </c>
      <c r="G22" s="58" t="s">
        <v>643</v>
      </c>
      <c r="H22" s="58"/>
      <c r="I22" s="25" t="s">
        <v>633</v>
      </c>
      <c r="J22" s="25" t="s">
        <v>634</v>
      </c>
      <c r="K22" s="25" t="s">
        <v>648</v>
      </c>
      <c r="L22" s="25" t="s">
        <v>393</v>
      </c>
      <c r="M22" s="323">
        <v>45845</v>
      </c>
      <c r="N22" s="84">
        <v>45845</v>
      </c>
      <c r="O22" s="25"/>
      <c r="P22" s="25"/>
      <c r="Q22" s="25">
        <v>52400000</v>
      </c>
      <c r="R22" s="25">
        <v>1</v>
      </c>
      <c r="S22" s="25">
        <f t="shared" si="1"/>
        <v>52400000</v>
      </c>
      <c r="T22" s="25"/>
      <c r="U22" s="25"/>
      <c r="V22" s="25"/>
      <c r="W22" s="25"/>
      <c r="X22" s="57" t="s">
        <v>399</v>
      </c>
      <c r="Y22" s="57" t="s">
        <v>222</v>
      </c>
      <c r="Z22" s="320"/>
      <c r="AA22" s="320"/>
      <c r="AB22" s="320"/>
      <c r="AC22" s="320"/>
      <c r="AD22" s="320"/>
      <c r="AE22" s="320"/>
      <c r="AF22" s="320"/>
      <c r="AG22" s="320"/>
      <c r="AH22" s="320"/>
      <c r="AI22" s="320"/>
      <c r="AJ22" s="320"/>
      <c r="AK22" s="320"/>
      <c r="AL22" s="320"/>
      <c r="AM22" s="320"/>
      <c r="AN22" s="320"/>
      <c r="AO22" s="320"/>
      <c r="AP22" s="320"/>
      <c r="AQ22" s="320"/>
      <c r="AR22" s="320"/>
      <c r="AS22" s="320"/>
      <c r="AT22" s="320"/>
    </row>
    <row r="23" ht="42" customHeight="1" spans="1:46">
      <c r="A23" s="25" t="s">
        <v>644</v>
      </c>
      <c r="B23" s="25" t="s">
        <v>421</v>
      </c>
      <c r="C23" s="25" t="s">
        <v>642</v>
      </c>
      <c r="D23" s="25" t="s">
        <v>172</v>
      </c>
      <c r="E23" s="25" t="s">
        <v>120</v>
      </c>
      <c r="F23" s="29" t="s">
        <v>609</v>
      </c>
      <c r="G23" s="58" t="s">
        <v>645</v>
      </c>
      <c r="H23" s="58"/>
      <c r="I23" s="25" t="s">
        <v>633</v>
      </c>
      <c r="J23" s="25" t="s">
        <v>634</v>
      </c>
      <c r="K23" s="25" t="s">
        <v>648</v>
      </c>
      <c r="L23" s="25" t="s">
        <v>432</v>
      </c>
      <c r="M23" s="323">
        <v>45847</v>
      </c>
      <c r="N23" s="84">
        <v>45847</v>
      </c>
      <c r="O23" s="25"/>
      <c r="P23" s="25"/>
      <c r="Q23" s="331">
        <f>R23*S23</f>
        <v>68728000</v>
      </c>
      <c r="R23" s="25">
        <v>1.1</v>
      </c>
      <c r="S23" s="331">
        <v>62480000</v>
      </c>
      <c r="T23" s="25"/>
      <c r="U23" s="25"/>
      <c r="V23" s="25"/>
      <c r="W23" s="25"/>
      <c r="X23" s="57" t="s">
        <v>399</v>
      </c>
      <c r="Y23" s="57" t="s">
        <v>222</v>
      </c>
      <c r="Z23" s="320"/>
      <c r="AA23" s="320"/>
      <c r="AB23" s="320"/>
      <c r="AC23" s="320"/>
      <c r="AD23" s="320"/>
      <c r="AE23" s="320"/>
      <c r="AF23" s="320"/>
      <c r="AG23" s="320"/>
      <c r="AH23" s="320"/>
      <c r="AI23" s="320"/>
      <c r="AJ23" s="320"/>
      <c r="AK23" s="320"/>
      <c r="AL23" s="320"/>
      <c r="AM23" s="320"/>
      <c r="AN23" s="320"/>
      <c r="AO23" s="320"/>
      <c r="AP23" s="320"/>
      <c r="AQ23" s="320"/>
      <c r="AR23" s="320"/>
      <c r="AS23" s="320"/>
      <c r="AT23" s="320"/>
    </row>
    <row r="24" ht="36.75" customHeight="1" spans="1:46">
      <c r="A24" s="25" t="s">
        <v>646</v>
      </c>
      <c r="B24" s="25" t="s">
        <v>421</v>
      </c>
      <c r="C24" s="25" t="s">
        <v>642</v>
      </c>
      <c r="D24" s="25" t="s">
        <v>172</v>
      </c>
      <c r="E24" s="25" t="s">
        <v>393</v>
      </c>
      <c r="F24" s="29" t="s">
        <v>609</v>
      </c>
      <c r="G24" s="58" t="s">
        <v>647</v>
      </c>
      <c r="H24" s="58"/>
      <c r="I24" s="25" t="s">
        <v>633</v>
      </c>
      <c r="J24" s="25" t="s">
        <v>634</v>
      </c>
      <c r="K24" s="25" t="s">
        <v>648</v>
      </c>
      <c r="L24" s="25" t="s">
        <v>393</v>
      </c>
      <c r="M24" s="323">
        <v>45848</v>
      </c>
      <c r="N24" s="84">
        <v>45848</v>
      </c>
      <c r="O24" s="25"/>
      <c r="P24" s="25"/>
      <c r="Q24" s="25">
        <v>2500000</v>
      </c>
      <c r="R24" s="25">
        <v>1</v>
      </c>
      <c r="S24" s="25">
        <f>Q24/R24</f>
        <v>2500000</v>
      </c>
      <c r="T24" s="25"/>
      <c r="U24" s="25"/>
      <c r="V24" s="25"/>
      <c r="W24" s="25"/>
      <c r="X24" s="57" t="s">
        <v>399</v>
      </c>
      <c r="Y24" s="57" t="s">
        <v>222</v>
      </c>
      <c r="Z24" s="320"/>
      <c r="AA24" s="320"/>
      <c r="AB24" s="320"/>
      <c r="AC24" s="320"/>
      <c r="AD24" s="320"/>
      <c r="AE24" s="320"/>
      <c r="AF24" s="320"/>
      <c r="AG24" s="320"/>
      <c r="AH24" s="320"/>
      <c r="AI24" s="320"/>
      <c r="AJ24" s="320"/>
      <c r="AK24" s="320"/>
      <c r="AL24" s="320"/>
      <c r="AM24" s="320"/>
      <c r="AN24" s="320"/>
      <c r="AO24" s="320"/>
      <c r="AP24" s="320"/>
      <c r="AQ24" s="320"/>
      <c r="AR24" s="320"/>
      <c r="AS24" s="320"/>
      <c r="AT24" s="320"/>
    </row>
    <row r="25" ht="14.4" spans="1:46">
      <c r="A25" s="25"/>
      <c r="B25" s="25"/>
      <c r="C25" s="25"/>
      <c r="D25" s="25"/>
      <c r="E25" s="25"/>
      <c r="F25" s="25"/>
      <c r="G25" s="25"/>
      <c r="H25" s="153"/>
      <c r="I25" s="25"/>
      <c r="J25" s="25"/>
      <c r="K25" s="25"/>
      <c r="L25" s="25"/>
      <c r="M25" s="25"/>
      <c r="N25" s="84"/>
      <c r="O25" s="25"/>
      <c r="P25" s="25"/>
      <c r="Q25" s="25"/>
      <c r="R25" s="25"/>
      <c r="S25" s="25"/>
      <c r="T25" s="189"/>
      <c r="U25" s="25"/>
      <c r="V25" s="25"/>
      <c r="W25" s="25"/>
      <c r="X25" s="25"/>
      <c r="Y25" s="25"/>
      <c r="Z25" s="320"/>
      <c r="AA25" s="320"/>
      <c r="AB25" s="320"/>
      <c r="AC25" s="320"/>
      <c r="AD25" s="320"/>
      <c r="AE25" s="320"/>
      <c r="AF25" s="320"/>
      <c r="AG25" s="320"/>
      <c r="AH25" s="320"/>
      <c r="AI25" s="320"/>
      <c r="AJ25" s="320"/>
      <c r="AK25" s="320"/>
      <c r="AL25" s="320"/>
      <c r="AM25" s="320"/>
      <c r="AN25" s="320"/>
      <c r="AO25" s="320"/>
      <c r="AP25" s="320"/>
      <c r="AQ25" s="320"/>
      <c r="AR25" s="320"/>
      <c r="AS25" s="320"/>
      <c r="AT25" s="320"/>
    </row>
    <row r="26" ht="14.4" spans="1:46">
      <c r="A26" s="25"/>
      <c r="B26" s="25"/>
      <c r="C26" s="25"/>
      <c r="D26" s="25"/>
      <c r="E26" s="25"/>
      <c r="F26" s="25"/>
      <c r="G26" s="25"/>
      <c r="H26" s="153"/>
      <c r="I26" s="25"/>
      <c r="J26" s="25"/>
      <c r="K26" s="25"/>
      <c r="L26" s="25"/>
      <c r="M26" s="25"/>
      <c r="N26" s="84"/>
      <c r="O26" s="25"/>
      <c r="P26" s="25"/>
      <c r="Q26" s="25"/>
      <c r="R26" s="25"/>
      <c r="S26" s="25"/>
      <c r="T26" s="189"/>
      <c r="U26" s="25"/>
      <c r="V26" s="25"/>
      <c r="W26" s="25"/>
      <c r="X26" s="25"/>
      <c r="Y26" s="25"/>
      <c r="Z26" s="320"/>
      <c r="AA26" s="320"/>
      <c r="AB26" s="320"/>
      <c r="AC26" s="320"/>
      <c r="AD26" s="320"/>
      <c r="AE26" s="320"/>
      <c r="AF26" s="320"/>
      <c r="AG26" s="320"/>
      <c r="AH26" s="320"/>
      <c r="AI26" s="320"/>
      <c r="AJ26" s="320"/>
      <c r="AK26" s="320"/>
      <c r="AL26" s="320"/>
      <c r="AM26" s="320"/>
      <c r="AN26" s="320"/>
      <c r="AO26" s="320"/>
      <c r="AP26" s="320"/>
      <c r="AQ26" s="320"/>
      <c r="AR26" s="320"/>
      <c r="AS26" s="320"/>
      <c r="AT26" s="320"/>
    </row>
    <row r="27" ht="14.4" spans="1:46">
      <c r="A27" s="25"/>
      <c r="B27" s="25"/>
      <c r="C27" s="25"/>
      <c r="D27" s="25"/>
      <c r="E27" s="25"/>
      <c r="F27" s="25"/>
      <c r="G27" s="25"/>
      <c r="H27" s="153"/>
      <c r="I27" s="25"/>
      <c r="J27" s="25"/>
      <c r="K27" s="25"/>
      <c r="L27" s="25"/>
      <c r="M27" s="25"/>
      <c r="N27" s="84"/>
      <c r="O27" s="25"/>
      <c r="P27" s="25"/>
      <c r="Q27" s="25"/>
      <c r="R27" s="25"/>
      <c r="S27" s="25"/>
      <c r="T27" s="189"/>
      <c r="U27" s="25"/>
      <c r="V27" s="25"/>
      <c r="W27" s="25"/>
      <c r="X27" s="25"/>
      <c r="Y27" s="25"/>
      <c r="Z27" s="320"/>
      <c r="AA27" s="320"/>
      <c r="AB27" s="320"/>
      <c r="AC27" s="320"/>
      <c r="AD27" s="320"/>
      <c r="AE27" s="320"/>
      <c r="AF27" s="320"/>
      <c r="AG27" s="320"/>
      <c r="AH27" s="320"/>
      <c r="AI27" s="320"/>
      <c r="AJ27" s="320"/>
      <c r="AK27" s="320"/>
      <c r="AL27" s="320"/>
      <c r="AM27" s="320"/>
      <c r="AN27" s="320"/>
      <c r="AO27" s="320"/>
      <c r="AP27" s="320"/>
      <c r="AQ27" s="320"/>
      <c r="AR27" s="320"/>
      <c r="AS27" s="320"/>
      <c r="AT27" s="320"/>
    </row>
    <row r="28" ht="14.4" spans="1:46">
      <c r="A28" s="25"/>
      <c r="B28" s="25"/>
      <c r="C28" s="25"/>
      <c r="D28" s="25"/>
      <c r="E28" s="25"/>
      <c r="F28" s="25"/>
      <c r="G28" s="153"/>
      <c r="H28" s="153"/>
      <c r="I28" s="25"/>
      <c r="J28" s="25"/>
      <c r="K28" s="153"/>
      <c r="L28" s="25"/>
      <c r="M28" s="153"/>
      <c r="N28" s="328"/>
      <c r="O28" s="153"/>
      <c r="P28" s="153"/>
      <c r="Q28" s="25"/>
      <c r="R28" s="153"/>
      <c r="S28" s="153"/>
      <c r="T28" s="189"/>
      <c r="U28" s="153"/>
      <c r="V28" s="153"/>
      <c r="W28" s="153"/>
      <c r="X28" s="153"/>
      <c r="Y28" s="153"/>
      <c r="Z28" s="320"/>
      <c r="AA28" s="320"/>
      <c r="AB28" s="320"/>
      <c r="AC28" s="320"/>
      <c r="AD28" s="320"/>
      <c r="AE28" s="320"/>
      <c r="AF28" s="320"/>
      <c r="AG28" s="320"/>
      <c r="AH28" s="320"/>
      <c r="AI28" s="320"/>
      <c r="AJ28" s="320"/>
      <c r="AK28" s="320"/>
      <c r="AL28" s="320"/>
      <c r="AM28" s="320"/>
      <c r="AN28" s="320"/>
      <c r="AO28" s="320"/>
      <c r="AP28" s="320"/>
      <c r="AQ28" s="320"/>
      <c r="AR28" s="320"/>
      <c r="AS28" s="320"/>
      <c r="AT28" s="320"/>
    </row>
    <row r="29" ht="14.4" spans="1:46">
      <c r="A29" s="25"/>
      <c r="B29" s="25"/>
      <c r="C29" s="25"/>
      <c r="D29" s="25"/>
      <c r="E29" s="25"/>
      <c r="F29" s="25"/>
      <c r="G29" s="153"/>
      <c r="H29" s="153"/>
      <c r="I29" s="25"/>
      <c r="J29" s="25"/>
      <c r="K29" s="153"/>
      <c r="L29" s="25"/>
      <c r="M29" s="153"/>
      <c r="N29" s="328"/>
      <c r="O29" s="153"/>
      <c r="P29" s="153"/>
      <c r="Q29" s="25"/>
      <c r="R29" s="153"/>
      <c r="S29" s="153"/>
      <c r="T29" s="189"/>
      <c r="U29" s="153"/>
      <c r="V29" s="153"/>
      <c r="W29" s="153"/>
      <c r="X29" s="153"/>
      <c r="Y29" s="153"/>
      <c r="Z29" s="320"/>
      <c r="AA29" s="320"/>
      <c r="AB29" s="320"/>
      <c r="AC29" s="320"/>
      <c r="AD29" s="320"/>
      <c r="AE29" s="320"/>
      <c r="AF29" s="320"/>
      <c r="AG29" s="320"/>
      <c r="AH29" s="320"/>
      <c r="AI29" s="320"/>
      <c r="AJ29" s="320"/>
      <c r="AK29" s="320"/>
      <c r="AL29" s="320"/>
      <c r="AM29" s="320"/>
      <c r="AN29" s="320"/>
      <c r="AO29" s="320"/>
      <c r="AP29" s="320"/>
      <c r="AQ29" s="320"/>
      <c r="AR29" s="320"/>
      <c r="AS29" s="320"/>
      <c r="AT29" s="320"/>
    </row>
    <row r="30" ht="12" spans="1:46">
      <c r="A30" s="320"/>
      <c r="B30" s="320"/>
      <c r="C30" s="320"/>
      <c r="D30" s="320"/>
      <c r="E30" s="320"/>
      <c r="F30" s="320"/>
      <c r="G30" s="320"/>
      <c r="H30" s="320"/>
      <c r="I30" s="320"/>
      <c r="J30" s="320"/>
      <c r="K30" s="320"/>
      <c r="L30" s="320"/>
      <c r="M30" s="320"/>
      <c r="N30" s="329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Y30" s="320"/>
      <c r="Z30" s="320"/>
      <c r="AA30" s="320"/>
      <c r="AB30" s="320"/>
      <c r="AC30" s="320"/>
      <c r="AD30" s="320"/>
      <c r="AE30" s="320"/>
      <c r="AF30" s="320"/>
      <c r="AG30" s="320"/>
      <c r="AH30" s="320"/>
      <c r="AI30" s="320"/>
      <c r="AJ30" s="320"/>
      <c r="AK30" s="320"/>
      <c r="AL30" s="320"/>
      <c r="AM30" s="320"/>
      <c r="AN30" s="320"/>
      <c r="AO30" s="320"/>
      <c r="AP30" s="320"/>
      <c r="AQ30" s="320"/>
      <c r="AR30" s="320"/>
      <c r="AS30" s="320"/>
      <c r="AT30" s="320"/>
    </row>
    <row r="31" ht="12" spans="1:46">
      <c r="A31" s="320"/>
      <c r="B31" s="320"/>
      <c r="C31" s="320"/>
      <c r="D31" s="320"/>
      <c r="E31" s="320"/>
      <c r="F31" s="320"/>
      <c r="G31" s="320"/>
      <c r="H31" s="320"/>
      <c r="I31" s="320"/>
      <c r="J31" s="320"/>
      <c r="K31" s="320"/>
      <c r="L31" s="320"/>
      <c r="M31" s="320"/>
      <c r="N31" s="329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Y31" s="320"/>
      <c r="Z31" s="320"/>
      <c r="AA31" s="320"/>
      <c r="AB31" s="320"/>
      <c r="AC31" s="320"/>
      <c r="AD31" s="320"/>
      <c r="AE31" s="320"/>
      <c r="AF31" s="320"/>
      <c r="AG31" s="320"/>
      <c r="AH31" s="320"/>
      <c r="AI31" s="320"/>
      <c r="AJ31" s="320"/>
      <c r="AK31" s="320"/>
      <c r="AL31" s="320"/>
      <c r="AM31" s="320"/>
      <c r="AN31" s="320"/>
      <c r="AO31" s="320"/>
      <c r="AP31" s="320"/>
      <c r="AQ31" s="320"/>
      <c r="AR31" s="320"/>
      <c r="AS31" s="320"/>
      <c r="AT31" s="320"/>
    </row>
    <row r="32" ht="12" spans="1:46">
      <c r="A32" s="320"/>
      <c r="B32" s="320"/>
      <c r="C32" s="320"/>
      <c r="D32" s="320"/>
      <c r="E32" s="320"/>
      <c r="F32" s="320"/>
      <c r="G32" s="320"/>
      <c r="H32" s="320"/>
      <c r="I32" s="320"/>
      <c r="J32" s="320"/>
      <c r="K32" s="320"/>
      <c r="L32" s="320"/>
      <c r="M32" s="320"/>
      <c r="N32" s="329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0"/>
      <c r="AR32" s="320"/>
      <c r="AS32" s="320"/>
      <c r="AT32" s="320"/>
    </row>
    <row r="33" ht="12" spans="1:46">
      <c r="A33" s="320"/>
      <c r="B33" s="320"/>
      <c r="C33" s="320"/>
      <c r="D33" s="320"/>
      <c r="E33" s="320"/>
      <c r="F33" s="320"/>
      <c r="G33" s="320"/>
      <c r="H33" s="320"/>
      <c r="I33" s="320"/>
      <c r="J33" s="320"/>
      <c r="K33" s="320"/>
      <c r="L33" s="320"/>
      <c r="M33" s="320"/>
      <c r="N33" s="329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Y33" s="320"/>
      <c r="Z33" s="320"/>
      <c r="AA33" s="320"/>
      <c r="AB33" s="320"/>
      <c r="AC33" s="320"/>
      <c r="AD33" s="320"/>
      <c r="AE33" s="320"/>
      <c r="AF33" s="320"/>
      <c r="AG33" s="320"/>
      <c r="AH33" s="320"/>
      <c r="AI33" s="320"/>
      <c r="AJ33" s="320"/>
      <c r="AK33" s="320"/>
      <c r="AL33" s="320"/>
      <c r="AM33" s="320"/>
      <c r="AN33" s="320"/>
      <c r="AO33" s="320"/>
      <c r="AP33" s="320"/>
      <c r="AQ33" s="320"/>
      <c r="AR33" s="320"/>
      <c r="AS33" s="320"/>
      <c r="AT33" s="320"/>
    </row>
    <row r="34" ht="12" spans="1:46">
      <c r="A34" s="320"/>
      <c r="B34" s="320"/>
      <c r="C34" s="320"/>
      <c r="D34" s="320"/>
      <c r="E34" s="320"/>
      <c r="F34" s="320"/>
      <c r="G34" s="320"/>
      <c r="H34" s="320"/>
      <c r="I34" s="320"/>
      <c r="J34" s="320"/>
      <c r="K34" s="320"/>
      <c r="L34" s="320"/>
      <c r="M34" s="320"/>
      <c r="N34" s="329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Y34" s="320"/>
      <c r="Z34" s="320"/>
      <c r="AA34" s="320"/>
      <c r="AB34" s="320"/>
      <c r="AC34" s="320"/>
      <c r="AD34" s="320"/>
      <c r="AE34" s="320"/>
      <c r="AF34" s="320"/>
      <c r="AG34" s="320"/>
      <c r="AH34" s="320"/>
      <c r="AI34" s="320"/>
      <c r="AJ34" s="320"/>
      <c r="AK34" s="320"/>
      <c r="AL34" s="320"/>
      <c r="AM34" s="320"/>
      <c r="AN34" s="320"/>
      <c r="AO34" s="320"/>
      <c r="AP34" s="320"/>
      <c r="AQ34" s="320"/>
      <c r="AR34" s="320"/>
      <c r="AS34" s="320"/>
      <c r="AT34" s="320"/>
    </row>
    <row r="35" ht="12" spans="1:46">
      <c r="A35" s="320"/>
      <c r="B35" s="320"/>
      <c r="C35" s="320"/>
      <c r="D35" s="320"/>
      <c r="E35" s="320"/>
      <c r="F35" s="320"/>
      <c r="G35" s="320"/>
      <c r="H35" s="320"/>
      <c r="I35" s="320"/>
      <c r="J35" s="320"/>
      <c r="K35" s="320"/>
      <c r="L35" s="320"/>
      <c r="M35" s="320"/>
      <c r="N35" s="329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Y35" s="320"/>
      <c r="Z35" s="320"/>
      <c r="AA35" s="320"/>
      <c r="AB35" s="320"/>
      <c r="AC35" s="320"/>
      <c r="AD35" s="320"/>
      <c r="AE35" s="320"/>
      <c r="AF35" s="320"/>
      <c r="AG35" s="320"/>
      <c r="AH35" s="320"/>
      <c r="AI35" s="320"/>
      <c r="AJ35" s="320"/>
      <c r="AK35" s="320"/>
      <c r="AL35" s="320"/>
      <c r="AM35" s="320"/>
      <c r="AN35" s="320"/>
      <c r="AO35" s="320"/>
      <c r="AP35" s="320"/>
      <c r="AQ35" s="320"/>
      <c r="AR35" s="320"/>
      <c r="AS35" s="320"/>
      <c r="AT35" s="320"/>
    </row>
    <row r="36" ht="12" spans="1:46">
      <c r="A36" s="320"/>
      <c r="B36" s="320"/>
      <c r="C36" s="320"/>
      <c r="D36" s="320"/>
      <c r="E36" s="320"/>
      <c r="F36" s="320"/>
      <c r="G36" s="320"/>
      <c r="H36" s="320"/>
      <c r="I36" s="320"/>
      <c r="J36" s="320"/>
      <c r="K36" s="320"/>
      <c r="L36" s="320"/>
      <c r="M36" s="320"/>
      <c r="N36" s="329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  <c r="AB36" s="320"/>
      <c r="AC36" s="320"/>
      <c r="AD36" s="320"/>
      <c r="AE36" s="320"/>
      <c r="AF36" s="320"/>
      <c r="AG36" s="320"/>
      <c r="AH36" s="320"/>
      <c r="AI36" s="320"/>
      <c r="AJ36" s="320"/>
      <c r="AK36" s="320"/>
      <c r="AL36" s="320"/>
      <c r="AM36" s="320"/>
      <c r="AN36" s="320"/>
      <c r="AO36" s="320"/>
      <c r="AP36" s="320"/>
      <c r="AQ36" s="320"/>
      <c r="AR36" s="320"/>
      <c r="AS36" s="320"/>
      <c r="AT36" s="320"/>
    </row>
    <row r="37" ht="12" spans="1:46">
      <c r="A37" s="320"/>
      <c r="B37" s="320"/>
      <c r="C37" s="320"/>
      <c r="D37" s="320"/>
      <c r="E37" s="320"/>
      <c r="F37" s="320"/>
      <c r="G37" s="320"/>
      <c r="H37" s="320"/>
      <c r="I37" s="320"/>
      <c r="J37" s="320"/>
      <c r="K37" s="320"/>
      <c r="L37" s="320"/>
      <c r="M37" s="320"/>
      <c r="N37" s="329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0"/>
      <c r="AD37" s="320"/>
      <c r="AE37" s="320"/>
      <c r="AF37" s="320"/>
      <c r="AG37" s="320"/>
      <c r="AH37" s="320"/>
      <c r="AI37" s="320"/>
      <c r="AJ37" s="320"/>
      <c r="AK37" s="320"/>
      <c r="AL37" s="320"/>
      <c r="AM37" s="320"/>
      <c r="AN37" s="320"/>
      <c r="AO37" s="320"/>
      <c r="AP37" s="320"/>
      <c r="AQ37" s="320"/>
      <c r="AR37" s="320"/>
      <c r="AS37" s="320"/>
      <c r="AT37" s="320"/>
    </row>
    <row r="38" ht="12" spans="1:46">
      <c r="A38" s="320"/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9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320"/>
      <c r="AB38" s="320"/>
      <c r="AC38" s="320"/>
      <c r="AD38" s="320"/>
      <c r="AE38" s="320"/>
      <c r="AF38" s="320"/>
      <c r="AG38" s="320"/>
      <c r="AH38" s="320"/>
      <c r="AI38" s="320"/>
      <c r="AJ38" s="320"/>
      <c r="AK38" s="320"/>
      <c r="AL38" s="320"/>
      <c r="AM38" s="320"/>
      <c r="AN38" s="320"/>
      <c r="AO38" s="320"/>
      <c r="AP38" s="320"/>
      <c r="AQ38" s="320"/>
      <c r="AR38" s="320"/>
      <c r="AS38" s="320"/>
      <c r="AT38" s="320"/>
    </row>
    <row r="39" ht="12" spans="1:46">
      <c r="A39" s="320"/>
      <c r="B39" s="320"/>
      <c r="C39" s="320"/>
      <c r="D39" s="320"/>
      <c r="E39" s="320"/>
      <c r="F39" s="320"/>
      <c r="G39" s="320"/>
      <c r="H39" s="320"/>
      <c r="I39" s="320"/>
      <c r="J39" s="320"/>
      <c r="K39" s="320"/>
      <c r="L39" s="320"/>
      <c r="M39" s="320"/>
      <c r="N39" s="329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0"/>
      <c r="Z39" s="320"/>
      <c r="AA39" s="320"/>
      <c r="AB39" s="320"/>
      <c r="AC39" s="320"/>
      <c r="AD39" s="320"/>
      <c r="AE39" s="320"/>
      <c r="AF39" s="320"/>
      <c r="AG39" s="320"/>
      <c r="AH39" s="320"/>
      <c r="AI39" s="320"/>
      <c r="AJ39" s="320"/>
      <c r="AK39" s="320"/>
      <c r="AL39" s="320"/>
      <c r="AM39" s="320"/>
      <c r="AN39" s="320"/>
      <c r="AO39" s="320"/>
      <c r="AP39" s="320"/>
      <c r="AQ39" s="320"/>
      <c r="AR39" s="320"/>
      <c r="AS39" s="320"/>
      <c r="AT39" s="320"/>
    </row>
    <row r="40" ht="12" spans="1:46">
      <c r="A40" s="320"/>
      <c r="B40" s="320"/>
      <c r="C40" s="320"/>
      <c r="D40" s="320"/>
      <c r="E40" s="320"/>
      <c r="F40" s="320"/>
      <c r="G40" s="320"/>
      <c r="H40" s="320"/>
      <c r="I40" s="320"/>
      <c r="J40" s="320"/>
      <c r="K40" s="320"/>
      <c r="L40" s="320"/>
      <c r="M40" s="320"/>
      <c r="N40" s="329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Y40" s="320"/>
      <c r="Z40" s="320"/>
      <c r="AA40" s="320"/>
      <c r="AB40" s="320"/>
      <c r="AC40" s="320"/>
      <c r="AD40" s="320"/>
      <c r="AE40" s="320"/>
      <c r="AF40" s="320"/>
      <c r="AG40" s="320"/>
      <c r="AH40" s="320"/>
      <c r="AI40" s="320"/>
      <c r="AJ40" s="320"/>
      <c r="AK40" s="320"/>
      <c r="AL40" s="320"/>
      <c r="AM40" s="320"/>
      <c r="AN40" s="320"/>
      <c r="AO40" s="320"/>
      <c r="AP40" s="320"/>
      <c r="AQ40" s="320"/>
      <c r="AR40" s="320"/>
      <c r="AS40" s="320"/>
      <c r="AT40" s="320"/>
    </row>
    <row r="41" ht="12" spans="1:46">
      <c r="A41" s="320"/>
      <c r="B41" s="320"/>
      <c r="C41" s="320"/>
      <c r="D41" s="320"/>
      <c r="E41" s="320"/>
      <c r="F41" s="320"/>
      <c r="G41" s="320"/>
      <c r="H41" s="320"/>
      <c r="I41" s="320"/>
      <c r="J41" s="320"/>
      <c r="K41" s="320"/>
      <c r="L41" s="320"/>
      <c r="M41" s="320"/>
      <c r="N41" s="329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Y41" s="320"/>
      <c r="Z41" s="320"/>
      <c r="AA41" s="320"/>
      <c r="AB41" s="320"/>
      <c r="AC41" s="320"/>
      <c r="AD41" s="320"/>
      <c r="AE41" s="320"/>
      <c r="AF41" s="320"/>
      <c r="AG41" s="320"/>
      <c r="AH41" s="320"/>
      <c r="AI41" s="320"/>
      <c r="AJ41" s="320"/>
      <c r="AK41" s="320"/>
      <c r="AL41" s="320"/>
      <c r="AM41" s="320"/>
      <c r="AN41" s="320"/>
      <c r="AO41" s="320"/>
      <c r="AP41" s="320"/>
      <c r="AQ41" s="320"/>
      <c r="AR41" s="320"/>
      <c r="AS41" s="320"/>
      <c r="AT41" s="320"/>
    </row>
    <row r="42" ht="12" spans="1:46">
      <c r="A42" s="320"/>
      <c r="B42" s="320"/>
      <c r="C42" s="320"/>
      <c r="D42" s="320"/>
      <c r="E42" s="320"/>
      <c r="F42" s="320"/>
      <c r="G42" s="320"/>
      <c r="H42" s="320"/>
      <c r="I42" s="320"/>
      <c r="J42" s="320"/>
      <c r="K42" s="320"/>
      <c r="L42" s="320"/>
      <c r="M42" s="320"/>
      <c r="N42" s="329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Z42" s="320"/>
      <c r="AA42" s="320"/>
      <c r="AB42" s="320"/>
      <c r="AC42" s="320"/>
      <c r="AD42" s="320"/>
      <c r="AE42" s="320"/>
      <c r="AF42" s="320"/>
      <c r="AG42" s="320"/>
      <c r="AH42" s="320"/>
      <c r="AI42" s="320"/>
      <c r="AJ42" s="320"/>
      <c r="AK42" s="320"/>
      <c r="AL42" s="320"/>
      <c r="AM42" s="320"/>
      <c r="AN42" s="320"/>
      <c r="AO42" s="320"/>
      <c r="AP42" s="320"/>
      <c r="AQ42" s="320"/>
      <c r="AR42" s="320"/>
      <c r="AS42" s="320"/>
      <c r="AT42" s="320"/>
    </row>
    <row r="43" ht="15" spans="1:46">
      <c r="A43" s="320"/>
      <c r="B43" s="320"/>
      <c r="C43" s="320"/>
      <c r="D43" s="320"/>
      <c r="E43" s="320"/>
      <c r="F43" s="320"/>
      <c r="G43" s="320"/>
      <c r="H43" s="320"/>
      <c r="I43" s="320"/>
      <c r="J43" s="320"/>
      <c r="K43" s="320"/>
      <c r="L43" s="320"/>
      <c r="M43" s="320"/>
      <c r="N43" s="329"/>
      <c r="O43" s="320"/>
      <c r="P43" s="320"/>
      <c r="Q43" s="320"/>
      <c r="R43" s="320"/>
      <c r="S43" s="320"/>
      <c r="T43" s="320"/>
      <c r="U43" s="320"/>
      <c r="V43" s="320"/>
      <c r="W43" s="320"/>
      <c r="X43" s="320"/>
      <c r="Y43" s="320"/>
      <c r="Z43" s="320"/>
      <c r="AA43" s="320"/>
      <c r="AB43" s="320"/>
      <c r="AC43" s="320"/>
      <c r="AD43" s="320"/>
      <c r="AE43" s="320"/>
      <c r="AF43" s="320"/>
      <c r="AG43" s="320"/>
      <c r="AH43" s="320"/>
      <c r="AI43" s="320"/>
      <c r="AJ43" s="320"/>
      <c r="AK43" s="320"/>
      <c r="AL43" s="320"/>
      <c r="AM43" s="320"/>
      <c r="AN43" s="320"/>
      <c r="AO43" s="320"/>
      <c r="AP43" s="320"/>
      <c r="AQ43" s="320"/>
      <c r="AR43" s="320"/>
      <c r="AS43" s="320"/>
      <c r="AT43" s="154"/>
    </row>
    <row r="44" ht="12" spans="1:46">
      <c r="A44" s="320"/>
      <c r="B44" s="320"/>
      <c r="C44" s="320"/>
      <c r="D44" s="320"/>
      <c r="E44" s="320"/>
      <c r="F44" s="320"/>
      <c r="G44" s="320"/>
      <c r="H44" s="320"/>
      <c r="I44" s="320"/>
      <c r="J44" s="320"/>
      <c r="K44" s="320"/>
      <c r="L44" s="320"/>
      <c r="M44" s="320"/>
      <c r="N44" s="329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0"/>
      <c r="AT44" s="320"/>
    </row>
    <row r="45" ht="12" spans="1:46">
      <c r="A45" s="320"/>
      <c r="B45" s="320"/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M45" s="320"/>
      <c r="N45" s="329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320"/>
      <c r="AB45" s="320"/>
      <c r="AC45" s="320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20"/>
      <c r="AR45" s="320"/>
      <c r="AS45" s="320"/>
      <c r="AT45" s="320"/>
    </row>
    <row r="46" ht="12" spans="1:46">
      <c r="A46" s="320"/>
      <c r="B46" s="320"/>
      <c r="C46" s="320"/>
      <c r="D46" s="320"/>
      <c r="E46" s="320"/>
      <c r="F46" s="320"/>
      <c r="G46" s="320"/>
      <c r="H46" s="320"/>
      <c r="I46" s="320"/>
      <c r="J46" s="320"/>
      <c r="K46" s="320"/>
      <c r="L46" s="320"/>
      <c r="M46" s="320"/>
      <c r="N46" s="329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0"/>
      <c r="AD46" s="320"/>
      <c r="AE46" s="320"/>
      <c r="AF46" s="320"/>
      <c r="AG46" s="320"/>
      <c r="AH46" s="320"/>
      <c r="AI46" s="320"/>
      <c r="AJ46" s="320"/>
      <c r="AK46" s="320"/>
      <c r="AL46" s="320"/>
      <c r="AM46" s="320"/>
      <c r="AN46" s="320"/>
      <c r="AO46" s="320"/>
      <c r="AP46" s="320"/>
      <c r="AQ46" s="320"/>
      <c r="AR46" s="320"/>
      <c r="AS46" s="320"/>
      <c r="AT46" s="320"/>
    </row>
    <row r="47" ht="12" spans="1:46">
      <c r="A47" s="320"/>
      <c r="B47" s="320"/>
      <c r="C47" s="320"/>
      <c r="D47" s="320"/>
      <c r="E47" s="320"/>
      <c r="F47" s="320"/>
      <c r="G47" s="320"/>
      <c r="H47" s="320"/>
      <c r="I47" s="320"/>
      <c r="J47" s="320"/>
      <c r="K47" s="320"/>
      <c r="L47" s="320"/>
      <c r="M47" s="320"/>
      <c r="N47" s="329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20"/>
      <c r="AD47" s="320"/>
      <c r="AE47" s="320"/>
      <c r="AF47" s="320"/>
      <c r="AG47" s="320"/>
      <c r="AH47" s="320"/>
      <c r="AI47" s="320"/>
      <c r="AJ47" s="320"/>
      <c r="AK47" s="320"/>
      <c r="AL47" s="320"/>
      <c r="AM47" s="320"/>
      <c r="AN47" s="320"/>
      <c r="AO47" s="320"/>
      <c r="AP47" s="320"/>
      <c r="AQ47" s="320"/>
      <c r="AR47" s="320"/>
      <c r="AS47" s="320"/>
      <c r="AT47" s="320"/>
    </row>
    <row r="48" ht="12" spans="1:46">
      <c r="A48" s="320"/>
      <c r="B48" s="320"/>
      <c r="C48" s="320"/>
      <c r="D48" s="320"/>
      <c r="E48" s="320"/>
      <c r="F48" s="320"/>
      <c r="G48" s="320"/>
      <c r="H48" s="320"/>
      <c r="I48" s="320"/>
      <c r="J48" s="320"/>
      <c r="K48" s="320"/>
      <c r="L48" s="320"/>
      <c r="M48" s="320"/>
      <c r="N48" s="329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0"/>
      <c r="AD48" s="320"/>
      <c r="AE48" s="320"/>
      <c r="AF48" s="320"/>
      <c r="AG48" s="320"/>
      <c r="AH48" s="320"/>
      <c r="AI48" s="320"/>
      <c r="AJ48" s="320"/>
      <c r="AK48" s="320"/>
      <c r="AL48" s="320"/>
      <c r="AM48" s="320"/>
      <c r="AN48" s="320"/>
      <c r="AO48" s="320"/>
      <c r="AP48" s="320"/>
      <c r="AQ48" s="320"/>
      <c r="AR48" s="320"/>
      <c r="AS48" s="320"/>
      <c r="AT48" s="320"/>
    </row>
    <row r="49" ht="12" spans="1:46">
      <c r="A49" s="320"/>
      <c r="B49" s="320"/>
      <c r="C49" s="320"/>
      <c r="D49" s="320"/>
      <c r="E49" s="320"/>
      <c r="F49" s="320"/>
      <c r="G49" s="320"/>
      <c r="H49" s="320"/>
      <c r="I49" s="320"/>
      <c r="J49" s="320"/>
      <c r="K49" s="320"/>
      <c r="L49" s="320"/>
      <c r="M49" s="320"/>
      <c r="N49" s="329"/>
      <c r="O49" s="320"/>
      <c r="P49" s="320"/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  <c r="AC49" s="320"/>
      <c r="AD49" s="320"/>
      <c r="AE49" s="320"/>
      <c r="AF49" s="320"/>
      <c r="AG49" s="320"/>
      <c r="AH49" s="320"/>
      <c r="AI49" s="320"/>
      <c r="AJ49" s="320"/>
      <c r="AK49" s="320"/>
      <c r="AL49" s="320"/>
      <c r="AM49" s="320"/>
      <c r="AN49" s="320"/>
      <c r="AO49" s="320"/>
      <c r="AP49" s="320"/>
      <c r="AQ49" s="320"/>
      <c r="AR49" s="320"/>
      <c r="AS49" s="320"/>
      <c r="AT49" s="320"/>
    </row>
    <row r="50" ht="12" spans="1:46">
      <c r="A50" s="320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L50" s="320"/>
      <c r="M50" s="320"/>
      <c r="N50" s="329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20"/>
      <c r="AA50" s="320"/>
      <c r="AB50" s="320"/>
      <c r="AC50" s="320"/>
      <c r="AD50" s="320"/>
      <c r="AE50" s="320"/>
      <c r="AF50" s="320"/>
      <c r="AG50" s="320"/>
      <c r="AH50" s="320"/>
      <c r="AI50" s="320"/>
      <c r="AJ50" s="320"/>
      <c r="AK50" s="320"/>
      <c r="AL50" s="320"/>
      <c r="AM50" s="320"/>
      <c r="AN50" s="320"/>
      <c r="AO50" s="320"/>
      <c r="AP50" s="320"/>
      <c r="AQ50" s="320"/>
      <c r="AR50" s="320"/>
      <c r="AS50" s="320"/>
      <c r="AT50" s="320"/>
    </row>
    <row r="51" ht="12" spans="1:46">
      <c r="A51" s="320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9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20"/>
      <c r="AA51" s="320"/>
      <c r="AB51" s="320"/>
      <c r="AC51" s="320"/>
      <c r="AD51" s="320"/>
      <c r="AE51" s="320"/>
      <c r="AF51" s="320"/>
      <c r="AG51" s="320"/>
      <c r="AH51" s="320"/>
      <c r="AI51" s="320"/>
      <c r="AJ51" s="320"/>
      <c r="AK51" s="320"/>
      <c r="AL51" s="320"/>
      <c r="AM51" s="320"/>
      <c r="AN51" s="320"/>
      <c r="AO51" s="320"/>
      <c r="AP51" s="320"/>
      <c r="AQ51" s="320"/>
      <c r="AR51" s="320"/>
      <c r="AS51" s="320"/>
      <c r="AT51" s="320"/>
    </row>
    <row r="52" ht="12" spans="1:46">
      <c r="A52" s="320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9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20"/>
      <c r="Z52" s="320"/>
      <c r="AA52" s="320"/>
      <c r="AB52" s="320"/>
      <c r="AC52" s="320"/>
      <c r="AD52" s="320"/>
      <c r="AE52" s="320"/>
      <c r="AF52" s="320"/>
      <c r="AG52" s="320"/>
      <c r="AH52" s="320"/>
      <c r="AI52" s="320"/>
      <c r="AJ52" s="320"/>
      <c r="AK52" s="320"/>
      <c r="AL52" s="320"/>
      <c r="AM52" s="320"/>
      <c r="AN52" s="320"/>
      <c r="AO52" s="320"/>
      <c r="AP52" s="320"/>
      <c r="AQ52" s="320"/>
      <c r="AR52" s="320"/>
      <c r="AS52" s="320"/>
      <c r="AT52" s="320"/>
    </row>
    <row r="53" ht="12" spans="1:46">
      <c r="A53" s="320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9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</row>
    <row r="54" ht="12" spans="1:46">
      <c r="A54" s="320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L54" s="320"/>
      <c r="M54" s="320"/>
      <c r="N54" s="329"/>
      <c r="O54" s="320"/>
      <c r="P54" s="320"/>
      <c r="Q54" s="320"/>
      <c r="R54" s="320"/>
      <c r="S54" s="320"/>
      <c r="T54" s="320"/>
      <c r="U54" s="320"/>
      <c r="V54" s="320"/>
      <c r="W54" s="320"/>
      <c r="X54" s="320"/>
      <c r="Y54" s="320"/>
      <c r="Z54" s="320"/>
      <c r="AA54" s="320"/>
      <c r="AB54" s="320"/>
      <c r="AC54" s="320"/>
      <c r="AD54" s="320"/>
      <c r="AE54" s="320"/>
      <c r="AF54" s="320"/>
      <c r="AG54" s="320"/>
      <c r="AH54" s="320"/>
      <c r="AI54" s="320"/>
      <c r="AJ54" s="320"/>
      <c r="AK54" s="320"/>
      <c r="AL54" s="320"/>
      <c r="AM54" s="320"/>
      <c r="AN54" s="320"/>
      <c r="AO54" s="320"/>
      <c r="AP54" s="320"/>
      <c r="AQ54" s="320"/>
      <c r="AR54" s="320"/>
      <c r="AS54" s="320"/>
      <c r="AT54" s="320"/>
    </row>
    <row r="55" ht="12" spans="1:46">
      <c r="A55" s="320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L55" s="320"/>
      <c r="M55" s="320"/>
      <c r="N55" s="329"/>
      <c r="O55" s="320"/>
      <c r="P55" s="320"/>
      <c r="Q55" s="320"/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  <c r="AC55" s="320"/>
      <c r="AD55" s="320"/>
      <c r="AE55" s="320"/>
      <c r="AF55" s="320"/>
      <c r="AG55" s="320"/>
      <c r="AH55" s="320"/>
      <c r="AI55" s="320"/>
      <c r="AJ55" s="320"/>
      <c r="AK55" s="320"/>
      <c r="AL55" s="320"/>
      <c r="AM55" s="320"/>
      <c r="AN55" s="320"/>
      <c r="AO55" s="320"/>
      <c r="AP55" s="320"/>
      <c r="AQ55" s="320"/>
      <c r="AR55" s="320"/>
      <c r="AS55" s="320"/>
      <c r="AT55" s="320"/>
    </row>
    <row r="56" ht="12" spans="1:46">
      <c r="A56" s="320"/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L56" s="320"/>
      <c r="M56" s="320"/>
      <c r="N56" s="329"/>
      <c r="O56" s="320"/>
      <c r="P56" s="320"/>
      <c r="Q56" s="320"/>
      <c r="R56" s="320"/>
      <c r="S56" s="320"/>
      <c r="T56" s="320"/>
      <c r="U56" s="320"/>
      <c r="V56" s="320"/>
      <c r="W56" s="320"/>
      <c r="X56" s="320"/>
      <c r="Y56" s="320"/>
      <c r="Z56" s="320"/>
      <c r="AA56" s="320"/>
      <c r="AB56" s="320"/>
      <c r="AC56" s="320"/>
      <c r="AD56" s="320"/>
      <c r="AE56" s="320"/>
      <c r="AF56" s="320"/>
      <c r="AG56" s="320"/>
      <c r="AH56" s="320"/>
      <c r="AI56" s="320"/>
      <c r="AJ56" s="320"/>
      <c r="AK56" s="320"/>
      <c r="AL56" s="320"/>
      <c r="AM56" s="320"/>
      <c r="AN56" s="320"/>
      <c r="AO56" s="320"/>
      <c r="AP56" s="320"/>
      <c r="AQ56" s="320"/>
      <c r="AR56" s="320"/>
      <c r="AS56" s="320"/>
      <c r="AT56" s="320"/>
    </row>
    <row r="57" ht="12" spans="1:46">
      <c r="A57" s="320"/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L57" s="320"/>
      <c r="M57" s="320"/>
      <c r="N57" s="329"/>
      <c r="O57" s="320"/>
      <c r="P57" s="320"/>
      <c r="Q57" s="320"/>
      <c r="R57" s="320"/>
      <c r="S57" s="320"/>
      <c r="T57" s="320"/>
      <c r="U57" s="320"/>
      <c r="V57" s="320"/>
      <c r="W57" s="320"/>
      <c r="X57" s="320"/>
      <c r="Y57" s="320"/>
      <c r="Z57" s="320"/>
      <c r="AA57" s="320"/>
      <c r="AB57" s="320"/>
      <c r="AC57" s="320"/>
      <c r="AD57" s="320"/>
      <c r="AE57" s="320"/>
      <c r="AF57" s="320"/>
      <c r="AG57" s="320"/>
      <c r="AH57" s="320"/>
      <c r="AI57" s="320"/>
      <c r="AJ57" s="320"/>
      <c r="AK57" s="320"/>
      <c r="AL57" s="320"/>
      <c r="AM57" s="320"/>
      <c r="AN57" s="320"/>
      <c r="AO57" s="320"/>
      <c r="AP57" s="320"/>
      <c r="AQ57" s="320"/>
      <c r="AR57" s="320"/>
      <c r="AS57" s="320"/>
      <c r="AT57" s="320"/>
    </row>
    <row r="58" ht="12" spans="1:46">
      <c r="A58" s="320"/>
      <c r="B58" s="320"/>
      <c r="C58" s="320"/>
      <c r="D58" s="320"/>
      <c r="E58" s="320"/>
      <c r="F58" s="320"/>
      <c r="G58" s="320"/>
      <c r="H58" s="320"/>
      <c r="I58" s="320"/>
      <c r="J58" s="320"/>
      <c r="K58" s="320"/>
      <c r="L58" s="320"/>
      <c r="M58" s="320"/>
      <c r="N58" s="329"/>
      <c r="O58" s="320"/>
      <c r="P58" s="320"/>
      <c r="Q58" s="320"/>
      <c r="R58" s="320"/>
      <c r="S58" s="320"/>
      <c r="T58" s="320"/>
      <c r="U58" s="320"/>
      <c r="V58" s="320"/>
      <c r="W58" s="320"/>
      <c r="X58" s="320"/>
      <c r="Y58" s="320"/>
      <c r="Z58" s="320"/>
      <c r="AA58" s="320"/>
      <c r="AB58" s="320"/>
      <c r="AC58" s="320"/>
      <c r="AD58" s="320"/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</row>
    <row r="59" ht="12" spans="1:46">
      <c r="A59" s="320"/>
      <c r="B59" s="320"/>
      <c r="C59" s="320"/>
      <c r="D59" s="320"/>
      <c r="E59" s="320"/>
      <c r="F59" s="320"/>
      <c r="G59" s="320"/>
      <c r="H59" s="320"/>
      <c r="I59" s="320"/>
      <c r="J59" s="320"/>
      <c r="K59" s="320"/>
      <c r="L59" s="320"/>
      <c r="M59" s="320"/>
      <c r="N59" s="329"/>
      <c r="O59" s="320"/>
      <c r="P59" s="320"/>
      <c r="Q59" s="320"/>
      <c r="R59" s="320"/>
      <c r="S59" s="320"/>
      <c r="T59" s="320"/>
      <c r="U59" s="320"/>
      <c r="V59" s="320"/>
      <c r="W59" s="320"/>
      <c r="X59" s="320"/>
      <c r="Y59" s="320"/>
      <c r="Z59" s="320"/>
      <c r="AA59" s="320"/>
      <c r="AB59" s="320"/>
      <c r="AC59" s="320"/>
      <c r="AD59" s="320"/>
      <c r="AE59" s="320"/>
      <c r="AF59" s="320"/>
      <c r="AG59" s="320"/>
      <c r="AH59" s="320"/>
      <c r="AI59" s="320"/>
      <c r="AJ59" s="320"/>
      <c r="AK59" s="320"/>
      <c r="AL59" s="320"/>
      <c r="AM59" s="320"/>
      <c r="AN59" s="320"/>
      <c r="AO59" s="320"/>
      <c r="AP59" s="320"/>
      <c r="AQ59" s="320"/>
      <c r="AR59" s="320"/>
      <c r="AS59" s="320"/>
      <c r="AT59" s="320"/>
    </row>
    <row r="60" ht="12" spans="1:46">
      <c r="A60" s="320"/>
      <c r="B60" s="320"/>
      <c r="C60" s="320"/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9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0"/>
      <c r="AD60" s="320"/>
      <c r="AE60" s="320"/>
      <c r="AF60" s="320"/>
      <c r="AG60" s="320"/>
      <c r="AH60" s="320"/>
      <c r="AI60" s="320"/>
      <c r="AJ60" s="320"/>
      <c r="AK60" s="320"/>
      <c r="AL60" s="320"/>
      <c r="AM60" s="320"/>
      <c r="AN60" s="320"/>
      <c r="AO60" s="320"/>
      <c r="AP60" s="320"/>
      <c r="AQ60" s="320"/>
      <c r="AR60" s="320"/>
      <c r="AS60" s="320"/>
      <c r="AT60" s="320"/>
    </row>
    <row r="61" ht="12" spans="1:46">
      <c r="A61" s="320"/>
      <c r="B61" s="320"/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320"/>
      <c r="N61" s="329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320"/>
      <c r="AD61" s="320"/>
      <c r="AE61" s="320"/>
      <c r="AF61" s="320"/>
      <c r="AG61" s="320"/>
      <c r="AH61" s="320"/>
      <c r="AI61" s="320"/>
      <c r="AJ61" s="320"/>
      <c r="AK61" s="320"/>
      <c r="AL61" s="320"/>
      <c r="AM61" s="320"/>
      <c r="AN61" s="320"/>
      <c r="AO61" s="320"/>
      <c r="AP61" s="320"/>
      <c r="AQ61" s="320"/>
      <c r="AR61" s="320"/>
      <c r="AS61" s="320"/>
      <c r="AT61" s="320"/>
    </row>
    <row r="62" ht="12" spans="1:46">
      <c r="A62" s="320"/>
      <c r="B62" s="32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9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320"/>
      <c r="AE62" s="320"/>
      <c r="AF62" s="320"/>
      <c r="AG62" s="320"/>
      <c r="AH62" s="320"/>
      <c r="AI62" s="320"/>
      <c r="AJ62" s="320"/>
      <c r="AK62" s="320"/>
      <c r="AL62" s="320"/>
      <c r="AM62" s="320"/>
      <c r="AN62" s="320"/>
      <c r="AO62" s="320"/>
      <c r="AP62" s="320"/>
      <c r="AQ62" s="320"/>
      <c r="AR62" s="320"/>
      <c r="AS62" s="320"/>
      <c r="AT62" s="320"/>
    </row>
    <row r="63" ht="12" spans="1:46">
      <c r="A63" s="320"/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9"/>
      <c r="O63" s="320"/>
      <c r="P63" s="320"/>
      <c r="Q63" s="320"/>
      <c r="R63" s="320"/>
      <c r="S63" s="320"/>
      <c r="T63" s="320"/>
      <c r="U63" s="320"/>
      <c r="V63" s="320"/>
      <c r="W63" s="320"/>
      <c r="X63" s="320"/>
      <c r="Y63" s="320"/>
      <c r="Z63" s="320"/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  <c r="AL63" s="320"/>
      <c r="AM63" s="320"/>
      <c r="AN63" s="320"/>
      <c r="AO63" s="320"/>
      <c r="AP63" s="320"/>
      <c r="AQ63" s="320"/>
      <c r="AR63" s="320"/>
      <c r="AS63" s="320"/>
      <c r="AT63" s="320"/>
    </row>
    <row r="64" ht="12" spans="1:46">
      <c r="A64" s="320"/>
      <c r="B64" s="320"/>
      <c r="C64" s="320"/>
      <c r="D64" s="320"/>
      <c r="E64" s="320"/>
      <c r="F64" s="320"/>
      <c r="G64" s="320"/>
      <c r="H64" s="320"/>
      <c r="I64" s="320"/>
      <c r="J64" s="320"/>
      <c r="K64" s="320"/>
      <c r="L64" s="320"/>
      <c r="M64" s="320"/>
      <c r="N64" s="329"/>
      <c r="O64" s="320"/>
      <c r="P64" s="320"/>
      <c r="Q64" s="320"/>
      <c r="R64" s="320"/>
      <c r="S64" s="320"/>
      <c r="T64" s="320"/>
      <c r="U64" s="320"/>
      <c r="V64" s="320"/>
      <c r="W64" s="320"/>
      <c r="X64" s="320"/>
      <c r="Y64" s="320"/>
      <c r="Z64" s="320"/>
      <c r="AA64" s="320"/>
      <c r="AB64" s="320"/>
      <c r="AC64" s="320"/>
      <c r="AD64" s="320"/>
      <c r="AE64" s="320"/>
      <c r="AF64" s="320"/>
      <c r="AG64" s="320"/>
      <c r="AH64" s="320"/>
      <c r="AI64" s="320"/>
      <c r="AJ64" s="320"/>
      <c r="AK64" s="320"/>
      <c r="AL64" s="320"/>
      <c r="AM64" s="320"/>
      <c r="AN64" s="320"/>
      <c r="AO64" s="320"/>
      <c r="AP64" s="320"/>
      <c r="AQ64" s="320"/>
      <c r="AR64" s="320"/>
      <c r="AS64" s="320"/>
      <c r="AT64" s="320"/>
    </row>
    <row r="65" ht="12" spans="1:46">
      <c r="A65" s="320"/>
      <c r="B65" s="320"/>
      <c r="C65" s="320"/>
      <c r="D65" s="320"/>
      <c r="E65" s="320"/>
      <c r="F65" s="320"/>
      <c r="G65" s="320"/>
      <c r="H65" s="320"/>
      <c r="I65" s="320"/>
      <c r="J65" s="320"/>
      <c r="K65" s="320"/>
      <c r="L65" s="320"/>
      <c r="M65" s="320"/>
      <c r="N65" s="329"/>
      <c r="O65" s="320"/>
      <c r="P65" s="320"/>
      <c r="Q65" s="320"/>
      <c r="R65" s="320"/>
      <c r="S65" s="320"/>
      <c r="T65" s="320"/>
      <c r="U65" s="320"/>
      <c r="V65" s="320"/>
      <c r="W65" s="320"/>
      <c r="X65" s="320"/>
      <c r="Y65" s="320"/>
      <c r="Z65" s="320"/>
      <c r="AA65" s="320"/>
      <c r="AB65" s="320"/>
      <c r="AC65" s="320"/>
      <c r="AD65" s="320"/>
      <c r="AE65" s="320"/>
      <c r="AF65" s="320"/>
      <c r="AG65" s="320"/>
      <c r="AH65" s="320"/>
      <c r="AI65" s="320"/>
      <c r="AJ65" s="320"/>
      <c r="AK65" s="320"/>
      <c r="AL65" s="320"/>
      <c r="AM65" s="320"/>
      <c r="AN65" s="320"/>
      <c r="AO65" s="320"/>
      <c r="AP65" s="320"/>
      <c r="AQ65" s="320"/>
      <c r="AR65" s="320"/>
      <c r="AS65" s="320"/>
      <c r="AT65" s="320"/>
    </row>
    <row r="66" ht="12" spans="1:46">
      <c r="A66" s="320"/>
      <c r="B66" s="320"/>
      <c r="C66" s="320"/>
      <c r="D66" s="320"/>
      <c r="E66" s="320"/>
      <c r="F66" s="320"/>
      <c r="G66" s="320"/>
      <c r="H66" s="320"/>
      <c r="I66" s="320"/>
      <c r="J66" s="320"/>
      <c r="K66" s="320"/>
      <c r="L66" s="320"/>
      <c r="M66" s="320"/>
      <c r="N66" s="329"/>
      <c r="O66" s="320"/>
      <c r="P66" s="320"/>
      <c r="Q66" s="320"/>
      <c r="R66" s="320"/>
      <c r="S66" s="320"/>
      <c r="T66" s="320"/>
      <c r="U66" s="320"/>
      <c r="V66" s="320"/>
      <c r="W66" s="320"/>
      <c r="X66" s="320"/>
      <c r="Y66" s="320"/>
      <c r="Z66" s="320"/>
      <c r="AA66" s="320"/>
      <c r="AB66" s="320"/>
      <c r="AC66" s="320"/>
      <c r="AD66" s="320"/>
      <c r="AE66" s="320"/>
      <c r="AF66" s="320"/>
      <c r="AG66" s="320"/>
      <c r="AH66" s="320"/>
      <c r="AI66" s="320"/>
      <c r="AJ66" s="320"/>
      <c r="AK66" s="320"/>
      <c r="AL66" s="320"/>
      <c r="AM66" s="320"/>
      <c r="AN66" s="320"/>
      <c r="AO66" s="320"/>
      <c r="AP66" s="320"/>
      <c r="AQ66" s="320"/>
      <c r="AR66" s="320"/>
      <c r="AS66" s="320"/>
      <c r="AT66" s="320"/>
    </row>
    <row r="67" ht="12" spans="1:46">
      <c r="A67" s="320"/>
      <c r="B67" s="320"/>
      <c r="C67" s="320"/>
      <c r="D67" s="320"/>
      <c r="E67" s="320"/>
      <c r="F67" s="320"/>
      <c r="G67" s="320"/>
      <c r="H67" s="320"/>
      <c r="I67" s="320"/>
      <c r="J67" s="320"/>
      <c r="K67" s="320"/>
      <c r="L67" s="320"/>
      <c r="M67" s="320"/>
      <c r="N67" s="329"/>
      <c r="O67" s="320"/>
      <c r="P67" s="320"/>
      <c r="Q67" s="320"/>
      <c r="R67" s="320"/>
      <c r="S67" s="320"/>
      <c r="T67" s="320"/>
      <c r="U67" s="320"/>
      <c r="V67" s="320"/>
      <c r="W67" s="320"/>
      <c r="X67" s="320"/>
      <c r="Y67" s="320"/>
      <c r="Z67" s="320"/>
      <c r="AA67" s="320"/>
      <c r="AB67" s="320"/>
      <c r="AC67" s="320"/>
      <c r="AD67" s="320"/>
      <c r="AE67" s="320"/>
      <c r="AF67" s="320"/>
      <c r="AG67" s="320"/>
      <c r="AH67" s="320"/>
      <c r="AI67" s="320"/>
      <c r="AJ67" s="320"/>
      <c r="AK67" s="320"/>
      <c r="AL67" s="320"/>
      <c r="AM67" s="320"/>
      <c r="AN67" s="320"/>
      <c r="AO67" s="320"/>
      <c r="AP67" s="320"/>
      <c r="AQ67" s="320"/>
      <c r="AR67" s="320"/>
      <c r="AS67" s="320"/>
      <c r="AT67" s="320"/>
    </row>
    <row r="68" ht="12" spans="1:46">
      <c r="A68" s="320"/>
      <c r="B68" s="320"/>
      <c r="C68" s="320"/>
      <c r="D68" s="320"/>
      <c r="E68" s="320"/>
      <c r="F68" s="320"/>
      <c r="G68" s="320"/>
      <c r="H68" s="320"/>
      <c r="I68" s="320"/>
      <c r="J68" s="320"/>
      <c r="K68" s="320"/>
      <c r="L68" s="320"/>
      <c r="M68" s="320"/>
      <c r="N68" s="329"/>
      <c r="O68" s="320"/>
      <c r="P68" s="320"/>
      <c r="Q68" s="320"/>
      <c r="R68" s="320"/>
      <c r="S68" s="320"/>
      <c r="T68" s="320"/>
      <c r="U68" s="320"/>
      <c r="V68" s="320"/>
      <c r="W68" s="320"/>
      <c r="X68" s="320"/>
      <c r="Y68" s="320"/>
      <c r="Z68" s="320"/>
      <c r="AA68" s="320"/>
      <c r="AB68" s="320"/>
      <c r="AC68" s="320"/>
      <c r="AD68" s="320"/>
      <c r="AE68" s="320"/>
      <c r="AF68" s="320"/>
      <c r="AG68" s="320"/>
      <c r="AH68" s="320"/>
      <c r="AI68" s="320"/>
      <c r="AJ68" s="320"/>
      <c r="AK68" s="320"/>
      <c r="AL68" s="320"/>
      <c r="AM68" s="320"/>
      <c r="AN68" s="320"/>
      <c r="AO68" s="320"/>
      <c r="AP68" s="320"/>
      <c r="AQ68" s="320"/>
      <c r="AR68" s="320"/>
      <c r="AS68" s="320"/>
      <c r="AT68" s="320"/>
    </row>
    <row r="69" ht="12" spans="1:46">
      <c r="A69" s="320"/>
      <c r="B69" s="320"/>
      <c r="C69" s="320"/>
      <c r="D69" s="320"/>
      <c r="E69" s="320"/>
      <c r="F69" s="320"/>
      <c r="G69" s="320"/>
      <c r="H69" s="320"/>
      <c r="I69" s="320"/>
      <c r="J69" s="320"/>
      <c r="K69" s="320"/>
      <c r="L69" s="320"/>
      <c r="M69" s="320"/>
      <c r="N69" s="329"/>
      <c r="O69" s="320"/>
      <c r="P69" s="320"/>
      <c r="Q69" s="320"/>
      <c r="R69" s="320"/>
      <c r="S69" s="320"/>
      <c r="T69" s="320"/>
      <c r="U69" s="320"/>
      <c r="V69" s="320"/>
      <c r="W69" s="320"/>
      <c r="X69" s="320"/>
      <c r="Y69" s="320"/>
      <c r="Z69" s="320"/>
      <c r="AA69" s="320"/>
      <c r="AB69" s="320"/>
      <c r="AC69" s="320"/>
      <c r="AD69" s="320"/>
      <c r="AE69" s="320"/>
      <c r="AF69" s="320"/>
      <c r="AG69" s="320"/>
      <c r="AH69" s="320"/>
      <c r="AI69" s="320"/>
      <c r="AJ69" s="320"/>
      <c r="AK69" s="320"/>
      <c r="AL69" s="320"/>
      <c r="AM69" s="320"/>
      <c r="AN69" s="320"/>
      <c r="AO69" s="320"/>
      <c r="AP69" s="320"/>
      <c r="AQ69" s="320"/>
      <c r="AR69" s="320"/>
      <c r="AS69" s="320"/>
      <c r="AT69" s="320"/>
    </row>
    <row r="70" ht="12" spans="1:46">
      <c r="A70" s="320"/>
      <c r="B70" s="320"/>
      <c r="C70" s="320"/>
      <c r="D70" s="320"/>
      <c r="E70" s="320"/>
      <c r="F70" s="320"/>
      <c r="G70" s="320"/>
      <c r="H70" s="320"/>
      <c r="I70" s="320"/>
      <c r="J70" s="320"/>
      <c r="K70" s="320"/>
      <c r="L70" s="320"/>
      <c r="M70" s="320"/>
      <c r="N70" s="329"/>
      <c r="O70" s="320"/>
      <c r="P70" s="320"/>
      <c r="Q70" s="320"/>
      <c r="R70" s="320"/>
      <c r="S70" s="320"/>
      <c r="T70" s="320"/>
      <c r="U70" s="320"/>
      <c r="V70" s="320"/>
      <c r="W70" s="320"/>
      <c r="X70" s="320"/>
      <c r="Y70" s="320"/>
      <c r="Z70" s="320"/>
      <c r="AA70" s="320"/>
      <c r="AB70" s="320"/>
      <c r="AC70" s="320"/>
      <c r="AD70" s="320"/>
      <c r="AE70" s="320"/>
      <c r="AF70" s="320"/>
      <c r="AG70" s="320"/>
      <c r="AH70" s="320"/>
      <c r="AI70" s="320"/>
      <c r="AJ70" s="320"/>
      <c r="AK70" s="320"/>
      <c r="AL70" s="320"/>
      <c r="AM70" s="320"/>
      <c r="AN70" s="320"/>
      <c r="AO70" s="320"/>
      <c r="AP70" s="320"/>
      <c r="AQ70" s="320"/>
      <c r="AR70" s="320"/>
      <c r="AS70" s="320"/>
      <c r="AT70" s="320"/>
    </row>
    <row r="71" ht="12" spans="1:46">
      <c r="A71" s="320"/>
      <c r="B71" s="320"/>
      <c r="C71" s="320"/>
      <c r="D71" s="320"/>
      <c r="E71" s="320"/>
      <c r="F71" s="320"/>
      <c r="G71" s="320"/>
      <c r="H71" s="320"/>
      <c r="I71" s="320"/>
      <c r="J71" s="320"/>
      <c r="K71" s="320"/>
      <c r="L71" s="320"/>
      <c r="M71" s="320"/>
      <c r="N71" s="329"/>
      <c r="O71" s="320"/>
      <c r="P71" s="320"/>
      <c r="Q71" s="320"/>
      <c r="R71" s="320"/>
      <c r="S71" s="320"/>
      <c r="T71" s="320"/>
      <c r="U71" s="320"/>
      <c r="V71" s="320"/>
      <c r="W71" s="320"/>
      <c r="X71" s="320"/>
      <c r="Y71" s="320"/>
      <c r="Z71" s="320"/>
      <c r="AA71" s="320"/>
      <c r="AB71" s="320"/>
      <c r="AC71" s="320"/>
      <c r="AD71" s="320"/>
      <c r="AE71" s="320"/>
      <c r="AF71" s="320"/>
      <c r="AG71" s="320"/>
      <c r="AH71" s="320"/>
      <c r="AI71" s="320"/>
      <c r="AJ71" s="320"/>
      <c r="AK71" s="320"/>
      <c r="AL71" s="320"/>
      <c r="AM71" s="320"/>
      <c r="AN71" s="320"/>
      <c r="AO71" s="320"/>
      <c r="AP71" s="320"/>
      <c r="AQ71" s="320"/>
      <c r="AR71" s="320"/>
      <c r="AS71" s="320"/>
      <c r="AT71" s="320"/>
    </row>
    <row r="72" ht="12" spans="1:46">
      <c r="A72" s="320"/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9"/>
      <c r="O72" s="320"/>
      <c r="P72" s="320"/>
      <c r="Q72" s="320"/>
      <c r="R72" s="320"/>
      <c r="S72" s="320"/>
      <c r="T72" s="320"/>
      <c r="U72" s="320"/>
      <c r="V72" s="320"/>
      <c r="W72" s="320"/>
      <c r="X72" s="320"/>
      <c r="Y72" s="320"/>
      <c r="Z72" s="320"/>
      <c r="AA72" s="320"/>
      <c r="AB72" s="320"/>
      <c r="AC72" s="320"/>
      <c r="AD72" s="320"/>
      <c r="AE72" s="320"/>
      <c r="AF72" s="320"/>
      <c r="AG72" s="320"/>
      <c r="AH72" s="320"/>
      <c r="AI72" s="320"/>
      <c r="AJ72" s="320"/>
      <c r="AK72" s="320"/>
      <c r="AL72" s="320"/>
      <c r="AM72" s="320"/>
      <c r="AN72" s="320"/>
      <c r="AO72" s="320"/>
      <c r="AP72" s="320"/>
      <c r="AQ72" s="320"/>
      <c r="AR72" s="320"/>
      <c r="AS72" s="320"/>
      <c r="AT72" s="320"/>
    </row>
    <row r="73" ht="12" spans="1:46">
      <c r="A73" s="320"/>
      <c r="B73" s="320"/>
      <c r="C73" s="320"/>
      <c r="D73" s="320"/>
      <c r="E73" s="320"/>
      <c r="F73" s="320"/>
      <c r="G73" s="320"/>
      <c r="H73" s="320"/>
      <c r="I73" s="320"/>
      <c r="J73" s="320"/>
      <c r="K73" s="320"/>
      <c r="L73" s="320"/>
      <c r="M73" s="320"/>
      <c r="N73" s="329"/>
      <c r="O73" s="320"/>
      <c r="P73" s="320"/>
      <c r="Q73" s="320"/>
      <c r="R73" s="320"/>
      <c r="S73" s="320"/>
      <c r="T73" s="320"/>
      <c r="U73" s="320"/>
      <c r="V73" s="320"/>
      <c r="W73" s="320"/>
      <c r="X73" s="320"/>
      <c r="Y73" s="320"/>
      <c r="Z73" s="320"/>
      <c r="AA73" s="320"/>
      <c r="AB73" s="320"/>
      <c r="AC73" s="320"/>
      <c r="AD73" s="320"/>
      <c r="AE73" s="320"/>
      <c r="AF73" s="320"/>
      <c r="AG73" s="320"/>
      <c r="AH73" s="320"/>
      <c r="AI73" s="320"/>
      <c r="AJ73" s="320"/>
      <c r="AK73" s="320"/>
      <c r="AL73" s="320"/>
      <c r="AM73" s="320"/>
      <c r="AN73" s="320"/>
      <c r="AO73" s="320"/>
      <c r="AP73" s="320"/>
      <c r="AQ73" s="320"/>
      <c r="AR73" s="320"/>
      <c r="AS73" s="320"/>
      <c r="AT73" s="320"/>
    </row>
    <row r="74" ht="12" spans="1:46">
      <c r="A74" s="320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9"/>
      <c r="O74" s="320"/>
      <c r="P74" s="320"/>
      <c r="Q74" s="320"/>
      <c r="R74" s="320"/>
      <c r="S74" s="320"/>
      <c r="T74" s="320"/>
      <c r="U74" s="320"/>
      <c r="V74" s="320"/>
      <c r="W74" s="320"/>
      <c r="X74" s="320"/>
      <c r="Y74" s="320"/>
      <c r="Z74" s="320"/>
      <c r="AA74" s="320"/>
      <c r="AB74" s="320"/>
      <c r="AC74" s="320"/>
      <c r="AD74" s="320"/>
      <c r="AE74" s="320"/>
      <c r="AF74" s="320"/>
      <c r="AG74" s="320"/>
      <c r="AH74" s="320"/>
      <c r="AI74" s="320"/>
      <c r="AJ74" s="320"/>
      <c r="AK74" s="320"/>
      <c r="AL74" s="320"/>
      <c r="AM74" s="320"/>
      <c r="AN74" s="320"/>
      <c r="AO74" s="320"/>
      <c r="AP74" s="320"/>
      <c r="AQ74" s="320"/>
      <c r="AR74" s="320"/>
      <c r="AS74" s="320"/>
      <c r="AT74" s="320"/>
    </row>
    <row r="75" ht="12" spans="1:46">
      <c r="A75" s="320"/>
      <c r="B75" s="320"/>
      <c r="C75" s="320"/>
      <c r="D75" s="320"/>
      <c r="E75" s="320"/>
      <c r="F75" s="320"/>
      <c r="G75" s="320"/>
      <c r="H75" s="320"/>
      <c r="I75" s="320"/>
      <c r="J75" s="320"/>
      <c r="K75" s="320"/>
      <c r="L75" s="320"/>
      <c r="M75" s="320"/>
      <c r="N75" s="329"/>
      <c r="O75" s="320"/>
      <c r="P75" s="320"/>
      <c r="Q75" s="320"/>
      <c r="R75" s="320"/>
      <c r="S75" s="320"/>
      <c r="T75" s="320"/>
      <c r="U75" s="320"/>
      <c r="V75" s="320"/>
      <c r="W75" s="320"/>
      <c r="X75" s="320"/>
      <c r="Y75" s="320"/>
      <c r="Z75" s="320"/>
      <c r="AA75" s="320"/>
      <c r="AB75" s="320"/>
      <c r="AC75" s="320"/>
      <c r="AD75" s="320"/>
      <c r="AE75" s="320"/>
      <c r="AF75" s="320"/>
      <c r="AG75" s="320"/>
      <c r="AH75" s="320"/>
      <c r="AI75" s="320"/>
      <c r="AJ75" s="320"/>
      <c r="AK75" s="320"/>
      <c r="AL75" s="320"/>
      <c r="AM75" s="320"/>
      <c r="AN75" s="320"/>
      <c r="AO75" s="320"/>
      <c r="AP75" s="320"/>
      <c r="AQ75" s="320"/>
      <c r="AR75" s="320"/>
      <c r="AS75" s="320"/>
      <c r="AT75" s="320"/>
    </row>
    <row r="76" ht="12" spans="1:46">
      <c r="A76" s="320"/>
      <c r="B76" s="320"/>
      <c r="C76" s="320"/>
      <c r="D76" s="320"/>
      <c r="E76" s="320"/>
      <c r="F76" s="320"/>
      <c r="G76" s="320"/>
      <c r="H76" s="320"/>
      <c r="I76" s="320"/>
      <c r="J76" s="320"/>
      <c r="K76" s="320"/>
      <c r="L76" s="320"/>
      <c r="M76" s="320"/>
      <c r="N76" s="329"/>
      <c r="O76" s="320"/>
      <c r="P76" s="320"/>
      <c r="Q76" s="320"/>
      <c r="R76" s="320"/>
      <c r="S76" s="320"/>
      <c r="T76" s="320"/>
      <c r="U76" s="320"/>
      <c r="V76" s="320"/>
      <c r="W76" s="320"/>
      <c r="X76" s="320"/>
      <c r="Y76" s="320"/>
      <c r="Z76" s="320"/>
      <c r="AA76" s="320"/>
      <c r="AB76" s="320"/>
      <c r="AC76" s="320"/>
      <c r="AD76" s="320"/>
      <c r="AE76" s="320"/>
      <c r="AF76" s="320"/>
      <c r="AG76" s="320"/>
      <c r="AH76" s="320"/>
      <c r="AI76" s="320"/>
      <c r="AJ76" s="320"/>
      <c r="AK76" s="320"/>
      <c r="AL76" s="320"/>
      <c r="AM76" s="320"/>
      <c r="AN76" s="320"/>
      <c r="AO76" s="320"/>
      <c r="AP76" s="320"/>
      <c r="AQ76" s="320"/>
      <c r="AR76" s="320"/>
      <c r="AS76" s="320"/>
      <c r="AT76" s="320"/>
    </row>
    <row r="77" ht="12" spans="1:46">
      <c r="A77" s="320"/>
      <c r="B77" s="320"/>
      <c r="C77" s="320"/>
      <c r="D77" s="320"/>
      <c r="E77" s="320"/>
      <c r="F77" s="320"/>
      <c r="G77" s="320"/>
      <c r="H77" s="320"/>
      <c r="I77" s="320"/>
      <c r="J77" s="320"/>
      <c r="K77" s="320"/>
      <c r="L77" s="320"/>
      <c r="M77" s="320"/>
      <c r="N77" s="329"/>
      <c r="O77" s="320"/>
      <c r="P77" s="320"/>
      <c r="Q77" s="320"/>
      <c r="R77" s="320"/>
      <c r="S77" s="320"/>
      <c r="T77" s="320"/>
      <c r="U77" s="320"/>
      <c r="V77" s="320"/>
      <c r="W77" s="320"/>
      <c r="X77" s="320"/>
      <c r="Y77" s="320"/>
      <c r="Z77" s="320"/>
      <c r="AA77" s="320"/>
      <c r="AB77" s="320"/>
      <c r="AC77" s="320"/>
      <c r="AD77" s="320"/>
      <c r="AE77" s="320"/>
      <c r="AF77" s="320"/>
      <c r="AG77" s="320"/>
      <c r="AH77" s="320"/>
      <c r="AI77" s="320"/>
      <c r="AJ77" s="320"/>
      <c r="AK77" s="320"/>
      <c r="AL77" s="320"/>
      <c r="AM77" s="320"/>
      <c r="AN77" s="320"/>
      <c r="AO77" s="320"/>
      <c r="AP77" s="320"/>
      <c r="AQ77" s="320"/>
      <c r="AR77" s="320"/>
      <c r="AS77" s="320"/>
      <c r="AT77" s="320"/>
    </row>
    <row r="78" ht="12" spans="1:46">
      <c r="A78" s="320"/>
      <c r="B78" s="320"/>
      <c r="C78" s="320"/>
      <c r="D78" s="320"/>
      <c r="E78" s="320"/>
      <c r="F78" s="320"/>
      <c r="G78" s="320"/>
      <c r="H78" s="320"/>
      <c r="I78" s="320"/>
      <c r="J78" s="320"/>
      <c r="K78" s="320"/>
      <c r="L78" s="320"/>
      <c r="M78" s="320"/>
      <c r="N78" s="329"/>
      <c r="O78" s="320"/>
      <c r="P78" s="320"/>
      <c r="Q78" s="320"/>
      <c r="R78" s="320"/>
      <c r="S78" s="320"/>
      <c r="T78" s="320"/>
      <c r="U78" s="320"/>
      <c r="V78" s="320"/>
      <c r="W78" s="320"/>
      <c r="X78" s="320"/>
      <c r="Y78" s="320"/>
      <c r="Z78" s="320"/>
      <c r="AA78" s="320"/>
      <c r="AB78" s="320"/>
      <c r="AC78" s="320"/>
      <c r="AD78" s="320"/>
      <c r="AE78" s="320"/>
      <c r="AF78" s="320"/>
      <c r="AG78" s="320"/>
      <c r="AH78" s="320"/>
      <c r="AI78" s="320"/>
      <c r="AJ78" s="320"/>
      <c r="AK78" s="320"/>
      <c r="AL78" s="320"/>
      <c r="AM78" s="320"/>
      <c r="AN78" s="320"/>
      <c r="AO78" s="320"/>
      <c r="AP78" s="320"/>
      <c r="AQ78" s="320"/>
      <c r="AR78" s="320"/>
      <c r="AS78" s="320"/>
      <c r="AT78" s="320"/>
    </row>
    <row r="79" ht="12" spans="1:46">
      <c r="A79" s="320"/>
      <c r="B79" s="320"/>
      <c r="C79" s="320"/>
      <c r="D79" s="320"/>
      <c r="E79" s="320"/>
      <c r="F79" s="320"/>
      <c r="G79" s="320"/>
      <c r="H79" s="320"/>
      <c r="I79" s="320"/>
      <c r="J79" s="320"/>
      <c r="K79" s="320"/>
      <c r="L79" s="320"/>
      <c r="M79" s="320"/>
      <c r="N79" s="329"/>
      <c r="O79" s="320"/>
      <c r="P79" s="320"/>
      <c r="Q79" s="320"/>
      <c r="R79" s="320"/>
      <c r="S79" s="320"/>
      <c r="T79" s="320"/>
      <c r="U79" s="320"/>
      <c r="V79" s="320"/>
      <c r="W79" s="320"/>
      <c r="X79" s="320"/>
      <c r="Y79" s="320"/>
      <c r="Z79" s="320"/>
      <c r="AA79" s="320"/>
      <c r="AB79" s="320"/>
      <c r="AC79" s="320"/>
      <c r="AD79" s="320"/>
      <c r="AE79" s="320"/>
      <c r="AF79" s="320"/>
      <c r="AG79" s="320"/>
      <c r="AH79" s="320"/>
      <c r="AI79" s="320"/>
      <c r="AJ79" s="320"/>
      <c r="AK79" s="320"/>
      <c r="AL79" s="320"/>
      <c r="AM79" s="320"/>
      <c r="AN79" s="320"/>
      <c r="AO79" s="320"/>
      <c r="AP79" s="320"/>
      <c r="AQ79" s="320"/>
      <c r="AR79" s="320"/>
      <c r="AS79" s="320"/>
      <c r="AT79" s="320"/>
    </row>
    <row r="80" ht="12" spans="1:46">
      <c r="A80" s="320"/>
      <c r="B80" s="320"/>
      <c r="C80" s="320"/>
      <c r="D80" s="320"/>
      <c r="E80" s="320"/>
      <c r="F80" s="320"/>
      <c r="G80" s="320"/>
      <c r="H80" s="320"/>
      <c r="I80" s="320"/>
      <c r="J80" s="320"/>
      <c r="K80" s="320"/>
      <c r="L80" s="320"/>
      <c r="M80" s="320"/>
      <c r="N80" s="329"/>
      <c r="O80" s="320"/>
      <c r="P80" s="320"/>
      <c r="Q80" s="320"/>
      <c r="R80" s="320"/>
      <c r="S80" s="320"/>
      <c r="T80" s="320"/>
      <c r="U80" s="320"/>
      <c r="V80" s="320"/>
      <c r="W80" s="320"/>
      <c r="X80" s="320"/>
      <c r="Y80" s="320"/>
      <c r="Z80" s="320"/>
      <c r="AA80" s="320"/>
      <c r="AB80" s="320"/>
      <c r="AC80" s="320"/>
      <c r="AD80" s="320"/>
      <c r="AE80" s="320"/>
      <c r="AF80" s="320"/>
      <c r="AG80" s="320"/>
      <c r="AH80" s="320"/>
      <c r="AI80" s="320"/>
      <c r="AJ80" s="320"/>
      <c r="AK80" s="320"/>
      <c r="AL80" s="320"/>
      <c r="AM80" s="320"/>
      <c r="AN80" s="320"/>
      <c r="AO80" s="320"/>
      <c r="AP80" s="320"/>
      <c r="AQ80" s="320"/>
      <c r="AR80" s="320"/>
      <c r="AS80" s="320"/>
      <c r="AT80" s="320"/>
    </row>
    <row r="81" ht="12" spans="1:46">
      <c r="A81" s="320"/>
      <c r="B81" s="320"/>
      <c r="C81" s="320"/>
      <c r="D81" s="320"/>
      <c r="E81" s="320"/>
      <c r="F81" s="320"/>
      <c r="G81" s="320"/>
      <c r="H81" s="320"/>
      <c r="I81" s="320"/>
      <c r="J81" s="320"/>
      <c r="K81" s="320"/>
      <c r="L81" s="320"/>
      <c r="M81" s="320"/>
      <c r="N81" s="329"/>
      <c r="O81" s="320"/>
      <c r="P81" s="320"/>
      <c r="Q81" s="320"/>
      <c r="R81" s="320"/>
      <c r="S81" s="320"/>
      <c r="T81" s="320"/>
      <c r="U81" s="320"/>
      <c r="V81" s="320"/>
      <c r="W81" s="320"/>
      <c r="X81" s="320"/>
      <c r="Y81" s="320"/>
      <c r="Z81" s="320"/>
      <c r="AA81" s="320"/>
      <c r="AB81" s="320"/>
      <c r="AC81" s="320"/>
      <c r="AD81" s="320"/>
      <c r="AE81" s="320"/>
      <c r="AF81" s="320"/>
      <c r="AG81" s="320"/>
      <c r="AH81" s="320"/>
      <c r="AI81" s="320"/>
      <c r="AJ81" s="320"/>
      <c r="AK81" s="320"/>
      <c r="AL81" s="320"/>
      <c r="AM81" s="320"/>
      <c r="AN81" s="320"/>
      <c r="AO81" s="320"/>
      <c r="AP81" s="320"/>
      <c r="AQ81" s="320"/>
      <c r="AR81" s="320"/>
      <c r="AS81" s="320"/>
      <c r="AT81" s="320"/>
    </row>
    <row r="82" ht="12" spans="1:46">
      <c r="A82" s="320"/>
      <c r="B82" s="320"/>
      <c r="C82" s="320"/>
      <c r="D82" s="320"/>
      <c r="E82" s="320"/>
      <c r="F82" s="320"/>
      <c r="G82" s="320"/>
      <c r="H82" s="320"/>
      <c r="I82" s="320"/>
      <c r="J82" s="320"/>
      <c r="K82" s="320"/>
      <c r="L82" s="320"/>
      <c r="M82" s="320"/>
      <c r="N82" s="329"/>
      <c r="O82" s="320"/>
      <c r="P82" s="320"/>
      <c r="Q82" s="320"/>
      <c r="R82" s="320"/>
      <c r="S82" s="320"/>
      <c r="T82" s="320"/>
      <c r="U82" s="320"/>
      <c r="V82" s="320"/>
      <c r="W82" s="320"/>
      <c r="X82" s="320"/>
      <c r="Y82" s="320"/>
      <c r="Z82" s="320"/>
      <c r="AA82" s="320"/>
      <c r="AB82" s="320"/>
      <c r="AC82" s="320"/>
      <c r="AD82" s="320"/>
      <c r="AE82" s="320"/>
      <c r="AF82" s="320"/>
      <c r="AG82" s="320"/>
      <c r="AH82" s="320"/>
      <c r="AI82" s="320"/>
      <c r="AJ82" s="320"/>
      <c r="AK82" s="320"/>
      <c r="AL82" s="320"/>
      <c r="AM82" s="320"/>
      <c r="AN82" s="320"/>
      <c r="AO82" s="320"/>
      <c r="AP82" s="320"/>
      <c r="AQ82" s="320"/>
      <c r="AR82" s="320"/>
      <c r="AS82" s="320"/>
      <c r="AT82" s="320"/>
    </row>
    <row r="83" ht="12" spans="1:46">
      <c r="A83" s="320"/>
      <c r="B83" s="320"/>
      <c r="C83" s="320"/>
      <c r="D83" s="320"/>
      <c r="E83" s="320"/>
      <c r="F83" s="320"/>
      <c r="G83" s="320"/>
      <c r="H83" s="320"/>
      <c r="I83" s="320"/>
      <c r="J83" s="320"/>
      <c r="K83" s="320"/>
      <c r="L83" s="320"/>
      <c r="M83" s="320"/>
      <c r="N83" s="329"/>
      <c r="O83" s="320"/>
      <c r="P83" s="320"/>
      <c r="Q83" s="320"/>
      <c r="R83" s="320"/>
      <c r="S83" s="320"/>
      <c r="T83" s="320"/>
      <c r="U83" s="320"/>
      <c r="V83" s="320"/>
      <c r="W83" s="320"/>
      <c r="X83" s="320"/>
      <c r="Y83" s="320"/>
      <c r="Z83" s="320"/>
      <c r="AA83" s="320"/>
      <c r="AB83" s="320"/>
      <c r="AC83" s="320"/>
      <c r="AD83" s="320"/>
      <c r="AE83" s="320"/>
      <c r="AF83" s="320"/>
      <c r="AG83" s="320"/>
      <c r="AH83" s="320"/>
      <c r="AI83" s="320"/>
      <c r="AJ83" s="320"/>
      <c r="AK83" s="320"/>
      <c r="AL83" s="320"/>
      <c r="AM83" s="320"/>
      <c r="AN83" s="320"/>
      <c r="AO83" s="320"/>
      <c r="AP83" s="320"/>
      <c r="AQ83" s="320"/>
      <c r="AR83" s="320"/>
      <c r="AS83" s="320"/>
      <c r="AT83" s="320"/>
    </row>
    <row r="84" ht="12" spans="1:46">
      <c r="A84" s="320"/>
      <c r="B84" s="320"/>
      <c r="C84" s="320"/>
      <c r="D84" s="320"/>
      <c r="E84" s="320"/>
      <c r="F84" s="320"/>
      <c r="G84" s="320"/>
      <c r="H84" s="320"/>
      <c r="I84" s="320"/>
      <c r="J84" s="320"/>
      <c r="K84" s="320"/>
      <c r="L84" s="320"/>
      <c r="M84" s="320"/>
      <c r="N84" s="329"/>
      <c r="O84" s="320"/>
      <c r="P84" s="320"/>
      <c r="Q84" s="320"/>
      <c r="R84" s="320"/>
      <c r="S84" s="320"/>
      <c r="T84" s="320"/>
      <c r="U84" s="320"/>
      <c r="V84" s="320"/>
      <c r="W84" s="320"/>
      <c r="X84" s="320"/>
      <c r="Y84" s="320"/>
      <c r="Z84" s="320"/>
      <c r="AA84" s="320"/>
      <c r="AB84" s="320"/>
      <c r="AC84" s="320"/>
      <c r="AD84" s="320"/>
      <c r="AE84" s="320"/>
      <c r="AF84" s="320"/>
      <c r="AG84" s="320"/>
      <c r="AH84" s="320"/>
      <c r="AI84" s="320"/>
      <c r="AJ84" s="320"/>
      <c r="AK84" s="320"/>
      <c r="AL84" s="320"/>
      <c r="AM84" s="320"/>
      <c r="AN84" s="320"/>
      <c r="AO84" s="320"/>
      <c r="AP84" s="320"/>
      <c r="AQ84" s="320"/>
      <c r="AR84" s="320"/>
      <c r="AS84" s="320"/>
      <c r="AT84" s="320"/>
    </row>
    <row r="85" ht="12" spans="1:46">
      <c r="A85" s="320"/>
      <c r="B85" s="320"/>
      <c r="C85" s="320"/>
      <c r="D85" s="320"/>
      <c r="E85" s="320"/>
      <c r="F85" s="320"/>
      <c r="G85" s="320"/>
      <c r="H85" s="320"/>
      <c r="I85" s="320"/>
      <c r="J85" s="320"/>
      <c r="K85" s="320"/>
      <c r="L85" s="320"/>
      <c r="M85" s="320"/>
      <c r="N85" s="329"/>
      <c r="O85" s="320"/>
      <c r="P85" s="320"/>
      <c r="Q85" s="320"/>
      <c r="R85" s="320"/>
      <c r="S85" s="320"/>
      <c r="T85" s="320"/>
      <c r="U85" s="320"/>
      <c r="V85" s="320"/>
      <c r="W85" s="320"/>
      <c r="X85" s="320"/>
      <c r="Y85" s="320"/>
      <c r="Z85" s="320"/>
      <c r="AA85" s="320"/>
      <c r="AB85" s="320"/>
      <c r="AC85" s="320"/>
      <c r="AD85" s="320"/>
      <c r="AE85" s="320"/>
      <c r="AF85" s="320"/>
      <c r="AG85" s="320"/>
      <c r="AH85" s="320"/>
      <c r="AI85" s="320"/>
      <c r="AJ85" s="320"/>
      <c r="AK85" s="320"/>
      <c r="AL85" s="320"/>
      <c r="AM85" s="320"/>
      <c r="AN85" s="320"/>
      <c r="AO85" s="320"/>
      <c r="AP85" s="320"/>
      <c r="AQ85" s="320"/>
      <c r="AR85" s="320"/>
      <c r="AS85" s="320"/>
      <c r="AT85" s="320"/>
    </row>
    <row r="86" ht="12" spans="1:46">
      <c r="A86" s="320"/>
      <c r="B86" s="320"/>
      <c r="C86" s="320"/>
      <c r="D86" s="320"/>
      <c r="E86" s="320"/>
      <c r="F86" s="320"/>
      <c r="G86" s="320"/>
      <c r="H86" s="320"/>
      <c r="I86" s="320"/>
      <c r="J86" s="320"/>
      <c r="K86" s="320"/>
      <c r="L86" s="320"/>
      <c r="M86" s="320"/>
      <c r="N86" s="329"/>
      <c r="O86" s="320"/>
      <c r="P86" s="320"/>
      <c r="Q86" s="320"/>
      <c r="R86" s="320"/>
      <c r="S86" s="320"/>
      <c r="T86" s="320"/>
      <c r="U86" s="320"/>
      <c r="V86" s="320"/>
      <c r="W86" s="320"/>
      <c r="X86" s="320"/>
      <c r="Y86" s="320"/>
      <c r="Z86" s="320"/>
      <c r="AA86" s="320"/>
      <c r="AB86" s="320"/>
      <c r="AC86" s="320"/>
      <c r="AD86" s="320"/>
      <c r="AE86" s="320"/>
      <c r="AF86" s="320"/>
      <c r="AG86" s="320"/>
      <c r="AH86" s="320"/>
      <c r="AI86" s="320"/>
      <c r="AJ86" s="320"/>
      <c r="AK86" s="320"/>
      <c r="AL86" s="320"/>
      <c r="AM86" s="320"/>
      <c r="AN86" s="320"/>
      <c r="AO86" s="320"/>
      <c r="AP86" s="320"/>
      <c r="AQ86" s="320"/>
      <c r="AR86" s="320"/>
      <c r="AS86" s="320"/>
      <c r="AT86" s="320"/>
    </row>
    <row r="87" ht="12" spans="1:46">
      <c r="A87" s="320"/>
      <c r="B87" s="320"/>
      <c r="C87" s="320"/>
      <c r="D87" s="320"/>
      <c r="E87" s="320"/>
      <c r="F87" s="320"/>
      <c r="G87" s="320"/>
      <c r="H87" s="320"/>
      <c r="I87" s="320"/>
      <c r="J87" s="320"/>
      <c r="K87" s="320"/>
      <c r="L87" s="320"/>
      <c r="M87" s="320"/>
      <c r="N87" s="329"/>
      <c r="O87" s="320"/>
      <c r="P87" s="320"/>
      <c r="Q87" s="320"/>
      <c r="R87" s="320"/>
      <c r="S87" s="320"/>
      <c r="T87" s="320"/>
      <c r="U87" s="320"/>
      <c r="V87" s="320"/>
      <c r="W87" s="320"/>
      <c r="X87" s="320"/>
      <c r="Y87" s="320"/>
      <c r="Z87" s="320"/>
      <c r="AA87" s="320"/>
      <c r="AB87" s="320"/>
      <c r="AC87" s="320"/>
      <c r="AD87" s="320"/>
      <c r="AE87" s="320"/>
      <c r="AF87" s="320"/>
      <c r="AG87" s="320"/>
      <c r="AH87" s="320"/>
      <c r="AI87" s="320"/>
      <c r="AJ87" s="320"/>
      <c r="AK87" s="320"/>
      <c r="AL87" s="320"/>
      <c r="AM87" s="320"/>
      <c r="AN87" s="320"/>
      <c r="AO87" s="320"/>
      <c r="AP87" s="320"/>
      <c r="AQ87" s="320"/>
      <c r="AR87" s="320"/>
      <c r="AS87" s="320"/>
      <c r="AT87" s="320"/>
    </row>
    <row r="88" ht="12" spans="1:46">
      <c r="A88" s="320"/>
      <c r="B88" s="320"/>
      <c r="C88" s="320"/>
      <c r="D88" s="320"/>
      <c r="E88" s="320"/>
      <c r="F88" s="320"/>
      <c r="G88" s="320"/>
      <c r="H88" s="320"/>
      <c r="I88" s="320"/>
      <c r="J88" s="320"/>
      <c r="K88" s="320"/>
      <c r="L88" s="320"/>
      <c r="M88" s="320"/>
      <c r="N88" s="329"/>
      <c r="O88" s="320"/>
      <c r="P88" s="320"/>
      <c r="Q88" s="320"/>
      <c r="R88" s="320"/>
      <c r="S88" s="320"/>
      <c r="T88" s="320"/>
      <c r="U88" s="320"/>
      <c r="V88" s="320"/>
      <c r="W88" s="320"/>
      <c r="X88" s="320"/>
      <c r="Y88" s="320"/>
      <c r="Z88" s="320"/>
      <c r="AA88" s="320"/>
      <c r="AB88" s="320"/>
      <c r="AC88" s="320"/>
      <c r="AD88" s="320"/>
      <c r="AE88" s="320"/>
      <c r="AF88" s="320"/>
      <c r="AG88" s="320"/>
      <c r="AH88" s="320"/>
      <c r="AI88" s="320"/>
      <c r="AJ88" s="320"/>
      <c r="AK88" s="320"/>
      <c r="AL88" s="320"/>
      <c r="AM88" s="320"/>
      <c r="AN88" s="320"/>
      <c r="AO88" s="320"/>
      <c r="AP88" s="320"/>
      <c r="AQ88" s="320"/>
      <c r="AR88" s="320"/>
      <c r="AS88" s="320"/>
      <c r="AT88" s="320"/>
    </row>
    <row r="89" ht="12" spans="1:46">
      <c r="A89" s="320"/>
      <c r="B89" s="320"/>
      <c r="C89" s="320"/>
      <c r="D89" s="320"/>
      <c r="E89" s="320"/>
      <c r="F89" s="320"/>
      <c r="G89" s="320"/>
      <c r="H89" s="320"/>
      <c r="I89" s="320"/>
      <c r="J89" s="320"/>
      <c r="K89" s="320"/>
      <c r="L89" s="320"/>
      <c r="M89" s="320"/>
      <c r="N89" s="329"/>
      <c r="O89" s="320"/>
      <c r="P89" s="320"/>
      <c r="Q89" s="320"/>
      <c r="R89" s="320"/>
      <c r="S89" s="320"/>
      <c r="T89" s="320"/>
      <c r="U89" s="320"/>
      <c r="V89" s="320"/>
      <c r="W89" s="320"/>
      <c r="X89" s="320"/>
      <c r="Y89" s="320"/>
      <c r="Z89" s="320"/>
      <c r="AA89" s="320"/>
      <c r="AB89" s="320"/>
      <c r="AC89" s="320"/>
      <c r="AD89" s="320"/>
      <c r="AE89" s="320"/>
      <c r="AF89" s="320"/>
      <c r="AG89" s="320"/>
      <c r="AH89" s="320"/>
      <c r="AI89" s="320"/>
      <c r="AJ89" s="320"/>
      <c r="AK89" s="320"/>
      <c r="AL89" s="320"/>
      <c r="AM89" s="320"/>
      <c r="AN89" s="320"/>
      <c r="AO89" s="320"/>
      <c r="AP89" s="320"/>
      <c r="AQ89" s="320"/>
      <c r="AR89" s="320"/>
      <c r="AS89" s="320"/>
      <c r="AT89" s="320"/>
    </row>
    <row r="90" ht="12" spans="1:46">
      <c r="A90" s="320"/>
      <c r="B90" s="320"/>
      <c r="C90" s="320"/>
      <c r="D90" s="320"/>
      <c r="E90" s="320"/>
      <c r="F90" s="320"/>
      <c r="G90" s="320"/>
      <c r="H90" s="320"/>
      <c r="I90" s="320"/>
      <c r="J90" s="320"/>
      <c r="K90" s="320"/>
      <c r="L90" s="320"/>
      <c r="M90" s="320"/>
      <c r="N90" s="329"/>
      <c r="O90" s="320"/>
      <c r="P90" s="320"/>
      <c r="Q90" s="320"/>
      <c r="R90" s="320"/>
      <c r="S90" s="320"/>
      <c r="T90" s="320"/>
      <c r="U90" s="320"/>
      <c r="V90" s="320"/>
      <c r="W90" s="320"/>
      <c r="X90" s="320"/>
      <c r="Y90" s="320"/>
      <c r="Z90" s="320"/>
      <c r="AA90" s="320"/>
      <c r="AB90" s="320"/>
      <c r="AC90" s="320"/>
      <c r="AD90" s="320"/>
      <c r="AE90" s="320"/>
      <c r="AF90" s="320"/>
      <c r="AG90" s="320"/>
      <c r="AH90" s="320"/>
      <c r="AI90" s="320"/>
      <c r="AJ90" s="320"/>
      <c r="AK90" s="320"/>
      <c r="AL90" s="320"/>
      <c r="AM90" s="320"/>
      <c r="AN90" s="320"/>
      <c r="AO90" s="320"/>
      <c r="AP90" s="320"/>
      <c r="AQ90" s="320"/>
      <c r="AR90" s="320"/>
      <c r="AS90" s="320"/>
      <c r="AT90" s="320"/>
    </row>
    <row r="91" ht="12" spans="1:46">
      <c r="A91" s="320"/>
      <c r="B91" s="320"/>
      <c r="C91" s="320"/>
      <c r="D91" s="320"/>
      <c r="E91" s="320"/>
      <c r="F91" s="320"/>
      <c r="G91" s="320"/>
      <c r="H91" s="320"/>
      <c r="I91" s="320"/>
      <c r="J91" s="320"/>
      <c r="K91" s="320"/>
      <c r="L91" s="320"/>
      <c r="M91" s="320"/>
      <c r="N91" s="329"/>
      <c r="O91" s="320"/>
      <c r="P91" s="320"/>
      <c r="Q91" s="320"/>
      <c r="R91" s="320"/>
      <c r="S91" s="320"/>
      <c r="T91" s="320"/>
      <c r="U91" s="320"/>
      <c r="V91" s="320"/>
      <c r="W91" s="320"/>
      <c r="X91" s="320"/>
      <c r="Y91" s="320"/>
      <c r="Z91" s="320"/>
      <c r="AA91" s="320"/>
      <c r="AB91" s="320"/>
      <c r="AC91" s="320"/>
      <c r="AD91" s="320"/>
      <c r="AE91" s="320"/>
      <c r="AF91" s="320"/>
      <c r="AG91" s="320"/>
      <c r="AH91" s="320"/>
      <c r="AI91" s="320"/>
      <c r="AJ91" s="320"/>
      <c r="AK91" s="320"/>
      <c r="AL91" s="320"/>
      <c r="AM91" s="320"/>
      <c r="AN91" s="320"/>
      <c r="AO91" s="320"/>
      <c r="AP91" s="320"/>
      <c r="AQ91" s="320"/>
      <c r="AR91" s="320"/>
      <c r="AS91" s="320"/>
      <c r="AT91" s="320"/>
    </row>
    <row r="92" ht="12" spans="1:46">
      <c r="A92" s="320"/>
      <c r="B92" s="320"/>
      <c r="C92" s="320"/>
      <c r="D92" s="320"/>
      <c r="E92" s="320"/>
      <c r="F92" s="320"/>
      <c r="G92" s="320"/>
      <c r="H92" s="320"/>
      <c r="I92" s="320"/>
      <c r="J92" s="320"/>
      <c r="K92" s="320"/>
      <c r="L92" s="320"/>
      <c r="M92" s="320"/>
      <c r="N92" s="329"/>
      <c r="O92" s="320"/>
      <c r="P92" s="320"/>
      <c r="Q92" s="320"/>
      <c r="R92" s="320"/>
      <c r="S92" s="320"/>
      <c r="T92" s="320"/>
      <c r="U92" s="320"/>
      <c r="V92" s="320"/>
      <c r="W92" s="320"/>
      <c r="X92" s="320"/>
      <c r="Y92" s="320"/>
      <c r="Z92" s="320"/>
      <c r="AA92" s="320"/>
      <c r="AB92" s="320"/>
      <c r="AC92" s="320"/>
      <c r="AD92" s="320"/>
      <c r="AE92" s="320"/>
      <c r="AF92" s="320"/>
      <c r="AG92" s="320"/>
      <c r="AH92" s="320"/>
      <c r="AI92" s="320"/>
      <c r="AJ92" s="320"/>
      <c r="AK92" s="320"/>
      <c r="AL92" s="320"/>
      <c r="AM92" s="320"/>
      <c r="AN92" s="320"/>
      <c r="AO92" s="320"/>
      <c r="AP92" s="320"/>
      <c r="AQ92" s="320"/>
      <c r="AR92" s="320"/>
      <c r="AS92" s="320"/>
      <c r="AT92" s="320"/>
    </row>
    <row r="93" ht="12" spans="1:46">
      <c r="A93" s="320"/>
      <c r="B93" s="320"/>
      <c r="C93" s="320"/>
      <c r="D93" s="320"/>
      <c r="E93" s="320"/>
      <c r="F93" s="320"/>
      <c r="G93" s="320"/>
      <c r="H93" s="320"/>
      <c r="I93" s="320"/>
      <c r="J93" s="320"/>
      <c r="K93" s="320"/>
      <c r="L93" s="320"/>
      <c r="M93" s="320"/>
      <c r="N93" s="329"/>
      <c r="O93" s="320"/>
      <c r="P93" s="320"/>
      <c r="Q93" s="320"/>
      <c r="R93" s="320"/>
      <c r="S93" s="320"/>
      <c r="T93" s="320"/>
      <c r="U93" s="320"/>
      <c r="V93" s="320"/>
      <c r="W93" s="320"/>
      <c r="X93" s="320"/>
      <c r="Y93" s="320"/>
      <c r="Z93" s="320"/>
      <c r="AA93" s="320"/>
      <c r="AB93" s="320"/>
      <c r="AC93" s="320"/>
      <c r="AD93" s="320"/>
      <c r="AE93" s="320"/>
      <c r="AF93" s="320"/>
      <c r="AG93" s="320"/>
      <c r="AH93" s="320"/>
      <c r="AI93" s="320"/>
      <c r="AJ93" s="320"/>
      <c r="AK93" s="320"/>
      <c r="AL93" s="320"/>
      <c r="AM93" s="320"/>
      <c r="AN93" s="320"/>
      <c r="AO93" s="320"/>
      <c r="AP93" s="320"/>
      <c r="AQ93" s="320"/>
      <c r="AR93" s="320"/>
      <c r="AS93" s="320"/>
      <c r="AT93" s="320"/>
    </row>
    <row r="94" ht="12" spans="1:46">
      <c r="A94" s="320"/>
      <c r="B94" s="320"/>
      <c r="C94" s="320"/>
      <c r="D94" s="320"/>
      <c r="E94" s="320"/>
      <c r="F94" s="320"/>
      <c r="G94" s="320"/>
      <c r="H94" s="320"/>
      <c r="I94" s="320"/>
      <c r="J94" s="320"/>
      <c r="K94" s="320"/>
      <c r="L94" s="320"/>
      <c r="M94" s="320"/>
      <c r="N94" s="329"/>
      <c r="O94" s="320"/>
      <c r="P94" s="320"/>
      <c r="Q94" s="320"/>
      <c r="R94" s="320"/>
      <c r="S94" s="320"/>
      <c r="T94" s="320"/>
      <c r="U94" s="320"/>
      <c r="V94" s="320"/>
      <c r="W94" s="320"/>
      <c r="X94" s="320"/>
      <c r="Y94" s="320"/>
      <c r="Z94" s="320"/>
      <c r="AA94" s="320"/>
      <c r="AB94" s="320"/>
      <c r="AC94" s="320"/>
      <c r="AD94" s="320"/>
      <c r="AE94" s="320"/>
      <c r="AF94" s="320"/>
      <c r="AG94" s="320"/>
      <c r="AH94" s="320"/>
      <c r="AI94" s="320"/>
      <c r="AJ94" s="320"/>
      <c r="AK94" s="320"/>
      <c r="AL94" s="320"/>
      <c r="AM94" s="320"/>
      <c r="AN94" s="320"/>
      <c r="AO94" s="320"/>
      <c r="AP94" s="320"/>
      <c r="AQ94" s="320"/>
      <c r="AR94" s="320"/>
      <c r="AS94" s="320"/>
      <c r="AT94" s="320"/>
    </row>
    <row r="95" ht="12" spans="1:46">
      <c r="A95" s="320"/>
      <c r="B95" s="320"/>
      <c r="C95" s="320"/>
      <c r="D95" s="320"/>
      <c r="E95" s="320"/>
      <c r="F95" s="320"/>
      <c r="G95" s="320"/>
      <c r="H95" s="320"/>
      <c r="I95" s="320"/>
      <c r="J95" s="320"/>
      <c r="K95" s="320"/>
      <c r="L95" s="320"/>
      <c r="M95" s="320"/>
      <c r="N95" s="329"/>
      <c r="O95" s="320"/>
      <c r="P95" s="320"/>
      <c r="Q95" s="320"/>
      <c r="R95" s="320"/>
      <c r="S95" s="320"/>
      <c r="T95" s="320"/>
      <c r="U95" s="320"/>
      <c r="V95" s="320"/>
      <c r="W95" s="320"/>
      <c r="X95" s="320"/>
      <c r="Y95" s="320"/>
      <c r="Z95" s="320"/>
      <c r="AA95" s="320"/>
      <c r="AB95" s="320"/>
      <c r="AC95" s="320"/>
      <c r="AD95" s="320"/>
      <c r="AE95" s="320"/>
      <c r="AF95" s="320"/>
      <c r="AG95" s="320"/>
      <c r="AH95" s="320"/>
      <c r="AI95" s="320"/>
      <c r="AJ95" s="320"/>
      <c r="AK95" s="320"/>
      <c r="AL95" s="320"/>
      <c r="AM95" s="320"/>
      <c r="AN95" s="320"/>
      <c r="AO95" s="320"/>
      <c r="AP95" s="320"/>
      <c r="AQ95" s="320"/>
      <c r="AR95" s="320"/>
      <c r="AS95" s="320"/>
      <c r="AT95" s="320"/>
    </row>
    <row r="96" ht="12" spans="1:46">
      <c r="A96" s="320"/>
      <c r="B96" s="320"/>
      <c r="C96" s="320"/>
      <c r="D96" s="320"/>
      <c r="E96" s="320"/>
      <c r="F96" s="320"/>
      <c r="G96" s="320"/>
      <c r="H96" s="320"/>
      <c r="I96" s="320"/>
      <c r="J96" s="320"/>
      <c r="K96" s="320"/>
      <c r="L96" s="320"/>
      <c r="M96" s="320"/>
      <c r="N96" s="329"/>
      <c r="O96" s="320"/>
      <c r="P96" s="320"/>
      <c r="Q96" s="320"/>
      <c r="R96" s="320"/>
      <c r="S96" s="320"/>
      <c r="T96" s="320"/>
      <c r="U96" s="320"/>
      <c r="V96" s="320"/>
      <c r="W96" s="320"/>
      <c r="X96" s="320"/>
      <c r="Y96" s="320"/>
      <c r="Z96" s="320"/>
      <c r="AA96" s="320"/>
      <c r="AB96" s="320"/>
      <c r="AC96" s="320"/>
      <c r="AD96" s="320"/>
      <c r="AE96" s="320"/>
      <c r="AF96" s="320"/>
      <c r="AG96" s="320"/>
      <c r="AH96" s="320"/>
      <c r="AI96" s="320"/>
      <c r="AJ96" s="320"/>
      <c r="AK96" s="320"/>
      <c r="AL96" s="320"/>
      <c r="AM96" s="320"/>
      <c r="AN96" s="320"/>
      <c r="AO96" s="320"/>
      <c r="AP96" s="320"/>
      <c r="AQ96" s="320"/>
      <c r="AR96" s="320"/>
      <c r="AS96" s="320"/>
      <c r="AT96" s="320"/>
    </row>
    <row r="97" ht="12" spans="1:46">
      <c r="A97" s="320"/>
      <c r="B97" s="320"/>
      <c r="C97" s="320"/>
      <c r="D97" s="320"/>
      <c r="E97" s="320"/>
      <c r="F97" s="320"/>
      <c r="G97" s="320"/>
      <c r="H97" s="320"/>
      <c r="I97" s="320"/>
      <c r="J97" s="320"/>
      <c r="K97" s="320"/>
      <c r="L97" s="320"/>
      <c r="M97" s="320"/>
      <c r="N97" s="329"/>
      <c r="O97" s="320"/>
      <c r="P97" s="320"/>
      <c r="Q97" s="320"/>
      <c r="R97" s="320"/>
      <c r="S97" s="320"/>
      <c r="T97" s="320"/>
      <c r="U97" s="320"/>
      <c r="V97" s="320"/>
      <c r="W97" s="320"/>
      <c r="X97" s="320"/>
      <c r="Y97" s="320"/>
      <c r="Z97" s="320"/>
      <c r="AA97" s="320"/>
      <c r="AB97" s="320"/>
      <c r="AC97" s="320"/>
      <c r="AD97" s="320"/>
      <c r="AE97" s="320"/>
      <c r="AF97" s="320"/>
      <c r="AG97" s="320"/>
      <c r="AH97" s="320"/>
      <c r="AI97" s="320"/>
      <c r="AJ97" s="320"/>
      <c r="AK97" s="320"/>
      <c r="AL97" s="320"/>
      <c r="AM97" s="320"/>
      <c r="AN97" s="320"/>
      <c r="AO97" s="320"/>
      <c r="AP97" s="320"/>
      <c r="AQ97" s="320"/>
      <c r="AR97" s="320"/>
      <c r="AS97" s="320"/>
      <c r="AT97" s="320"/>
    </row>
    <row r="98" ht="12" spans="1:46">
      <c r="A98" s="320"/>
      <c r="B98" s="320"/>
      <c r="C98" s="320"/>
      <c r="D98" s="320"/>
      <c r="E98" s="320"/>
      <c r="F98" s="320"/>
      <c r="G98" s="320"/>
      <c r="H98" s="320"/>
      <c r="I98" s="320"/>
      <c r="J98" s="320"/>
      <c r="K98" s="320"/>
      <c r="L98" s="320"/>
      <c r="M98" s="320"/>
      <c r="N98" s="329"/>
      <c r="O98" s="320"/>
      <c r="P98" s="320"/>
      <c r="Q98" s="320"/>
      <c r="R98" s="320"/>
      <c r="S98" s="320"/>
      <c r="T98" s="320"/>
      <c r="U98" s="320"/>
      <c r="V98" s="320"/>
      <c r="W98" s="320"/>
      <c r="X98" s="320"/>
      <c r="Y98" s="320"/>
      <c r="Z98" s="320"/>
      <c r="AA98" s="320"/>
      <c r="AB98" s="320"/>
      <c r="AC98" s="320"/>
      <c r="AD98" s="320"/>
      <c r="AE98" s="320"/>
      <c r="AF98" s="320"/>
      <c r="AG98" s="320"/>
      <c r="AH98" s="320"/>
      <c r="AI98" s="320"/>
      <c r="AJ98" s="320"/>
      <c r="AK98" s="320"/>
      <c r="AL98" s="320"/>
      <c r="AM98" s="320"/>
      <c r="AN98" s="320"/>
      <c r="AO98" s="320"/>
      <c r="AP98" s="320"/>
      <c r="AQ98" s="320"/>
      <c r="AR98" s="320"/>
      <c r="AS98" s="320"/>
      <c r="AT98" s="320"/>
    </row>
    <row r="99" ht="12" spans="1:46">
      <c r="A99" s="320"/>
      <c r="B99" s="320"/>
      <c r="C99" s="320"/>
      <c r="D99" s="320"/>
      <c r="E99" s="320"/>
      <c r="F99" s="320"/>
      <c r="G99" s="320"/>
      <c r="H99" s="320"/>
      <c r="I99" s="320"/>
      <c r="J99" s="320"/>
      <c r="K99" s="320"/>
      <c r="L99" s="320"/>
      <c r="M99" s="320"/>
      <c r="N99" s="329"/>
      <c r="O99" s="320"/>
      <c r="P99" s="320"/>
      <c r="Q99" s="320"/>
      <c r="R99" s="320"/>
      <c r="S99" s="320"/>
      <c r="T99" s="320"/>
      <c r="U99" s="320"/>
      <c r="V99" s="320"/>
      <c r="W99" s="320"/>
      <c r="X99" s="320"/>
      <c r="Y99" s="320"/>
      <c r="Z99" s="320"/>
      <c r="AA99" s="320"/>
      <c r="AB99" s="320"/>
      <c r="AC99" s="320"/>
      <c r="AD99" s="320"/>
      <c r="AE99" s="320"/>
      <c r="AF99" s="320"/>
      <c r="AG99" s="320"/>
      <c r="AH99" s="320"/>
      <c r="AI99" s="320"/>
      <c r="AJ99" s="320"/>
      <c r="AK99" s="320"/>
      <c r="AL99" s="320"/>
      <c r="AM99" s="320"/>
      <c r="AN99" s="320"/>
      <c r="AO99" s="320"/>
      <c r="AP99" s="320"/>
      <c r="AQ99" s="320"/>
      <c r="AR99" s="320"/>
      <c r="AS99" s="320"/>
      <c r="AT99" s="320"/>
    </row>
    <row r="100" ht="12" spans="1:46">
      <c r="A100" s="320"/>
      <c r="B100" s="320"/>
      <c r="C100" s="320"/>
      <c r="D100" s="320"/>
      <c r="E100" s="320"/>
      <c r="F100" s="320"/>
      <c r="G100" s="320"/>
      <c r="H100" s="320"/>
      <c r="I100" s="320"/>
      <c r="J100" s="320"/>
      <c r="K100" s="320"/>
      <c r="L100" s="320"/>
      <c r="M100" s="320"/>
      <c r="N100" s="329"/>
      <c r="O100" s="320"/>
      <c r="P100" s="320"/>
      <c r="Q100" s="320"/>
      <c r="R100" s="320"/>
      <c r="S100" s="320"/>
      <c r="T100" s="320"/>
      <c r="U100" s="320"/>
      <c r="V100" s="320"/>
      <c r="W100" s="320"/>
      <c r="X100" s="320"/>
      <c r="Y100" s="320"/>
      <c r="Z100" s="320"/>
      <c r="AA100" s="320"/>
      <c r="AB100" s="320"/>
      <c r="AC100" s="320"/>
      <c r="AD100" s="320"/>
      <c r="AE100" s="320"/>
      <c r="AF100" s="320"/>
      <c r="AG100" s="320"/>
      <c r="AH100" s="320"/>
      <c r="AI100" s="320"/>
      <c r="AJ100" s="320"/>
      <c r="AK100" s="320"/>
      <c r="AL100" s="320"/>
      <c r="AM100" s="320"/>
      <c r="AN100" s="320"/>
      <c r="AO100" s="320"/>
      <c r="AP100" s="320"/>
      <c r="AQ100" s="320"/>
      <c r="AR100" s="320"/>
      <c r="AS100" s="320"/>
      <c r="AT100" s="320"/>
    </row>
    <row r="101" ht="12" spans="1:46">
      <c r="A101" s="320"/>
      <c r="B101" s="320"/>
      <c r="C101" s="320"/>
      <c r="D101" s="320"/>
      <c r="E101" s="320"/>
      <c r="F101" s="320"/>
      <c r="G101" s="320"/>
      <c r="H101" s="320"/>
      <c r="I101" s="320"/>
      <c r="J101" s="320"/>
      <c r="K101" s="320"/>
      <c r="L101" s="320"/>
      <c r="M101" s="320"/>
      <c r="N101" s="329"/>
      <c r="O101" s="320"/>
      <c r="P101" s="320"/>
      <c r="Q101" s="320"/>
      <c r="R101" s="320"/>
      <c r="S101" s="320"/>
      <c r="T101" s="320"/>
      <c r="U101" s="320"/>
      <c r="V101" s="320"/>
      <c r="W101" s="320"/>
      <c r="X101" s="320"/>
      <c r="Y101" s="320"/>
      <c r="Z101" s="320"/>
      <c r="AA101" s="320"/>
      <c r="AB101" s="320"/>
      <c r="AC101" s="320"/>
      <c r="AD101" s="320"/>
      <c r="AE101" s="320"/>
      <c r="AF101" s="320"/>
      <c r="AG101" s="320"/>
      <c r="AH101" s="320"/>
      <c r="AI101" s="320"/>
      <c r="AJ101" s="320"/>
      <c r="AK101" s="320"/>
      <c r="AL101" s="320"/>
      <c r="AM101" s="320"/>
      <c r="AN101" s="320"/>
      <c r="AO101" s="320"/>
      <c r="AP101" s="320"/>
      <c r="AQ101" s="320"/>
      <c r="AR101" s="320"/>
      <c r="AS101" s="320"/>
      <c r="AT101" s="320"/>
    </row>
    <row r="102" ht="12" spans="1:46">
      <c r="A102" s="320"/>
      <c r="B102" s="320"/>
      <c r="C102" s="320"/>
      <c r="D102" s="320"/>
      <c r="E102" s="320"/>
      <c r="F102" s="320"/>
      <c r="G102" s="320"/>
      <c r="H102" s="320"/>
      <c r="I102" s="320"/>
      <c r="J102" s="320"/>
      <c r="K102" s="320"/>
      <c r="L102" s="320"/>
      <c r="M102" s="320"/>
      <c r="N102" s="329"/>
      <c r="O102" s="320"/>
      <c r="P102" s="320"/>
      <c r="Q102" s="320"/>
      <c r="R102" s="320"/>
      <c r="S102" s="320"/>
      <c r="T102" s="320"/>
      <c r="U102" s="320"/>
      <c r="V102" s="320"/>
      <c r="W102" s="320"/>
      <c r="X102" s="320"/>
      <c r="Y102" s="320"/>
      <c r="Z102" s="320"/>
      <c r="AA102" s="320"/>
      <c r="AB102" s="320"/>
      <c r="AC102" s="320"/>
      <c r="AD102" s="320"/>
      <c r="AE102" s="320"/>
      <c r="AF102" s="320"/>
      <c r="AG102" s="320"/>
      <c r="AH102" s="320"/>
      <c r="AI102" s="320"/>
      <c r="AJ102" s="320"/>
      <c r="AK102" s="320"/>
      <c r="AL102" s="320"/>
      <c r="AM102" s="320"/>
      <c r="AN102" s="320"/>
      <c r="AO102" s="320"/>
      <c r="AP102" s="320"/>
      <c r="AQ102" s="320"/>
      <c r="AR102" s="320"/>
      <c r="AS102" s="320"/>
      <c r="AT102" s="320"/>
    </row>
    <row r="103" ht="12" spans="1:46">
      <c r="A103" s="320"/>
      <c r="B103" s="320"/>
      <c r="C103" s="320"/>
      <c r="D103" s="320"/>
      <c r="E103" s="320"/>
      <c r="F103" s="320"/>
      <c r="G103" s="320"/>
      <c r="H103" s="320"/>
      <c r="I103" s="320"/>
      <c r="J103" s="320"/>
      <c r="K103" s="320"/>
      <c r="L103" s="320"/>
      <c r="M103" s="320"/>
      <c r="N103" s="329"/>
      <c r="O103" s="320"/>
      <c r="P103" s="320"/>
      <c r="Q103" s="320"/>
      <c r="R103" s="320"/>
      <c r="S103" s="320"/>
      <c r="T103" s="320"/>
      <c r="U103" s="320"/>
      <c r="V103" s="320"/>
      <c r="W103" s="320"/>
      <c r="X103" s="320"/>
      <c r="Y103" s="320"/>
      <c r="Z103" s="320"/>
      <c r="AA103" s="320"/>
      <c r="AB103" s="320"/>
      <c r="AC103" s="320"/>
      <c r="AD103" s="320"/>
      <c r="AE103" s="320"/>
      <c r="AF103" s="320"/>
      <c r="AG103" s="320"/>
      <c r="AH103" s="320"/>
      <c r="AI103" s="320"/>
      <c r="AJ103" s="320"/>
      <c r="AK103" s="320"/>
      <c r="AL103" s="320"/>
      <c r="AM103" s="320"/>
      <c r="AN103" s="320"/>
      <c r="AO103" s="320"/>
      <c r="AP103" s="320"/>
      <c r="AQ103" s="320"/>
      <c r="AR103" s="320"/>
      <c r="AS103" s="320"/>
      <c r="AT103" s="320"/>
    </row>
    <row r="104" ht="12" spans="1:46">
      <c r="A104" s="320"/>
      <c r="B104" s="320"/>
      <c r="C104" s="320"/>
      <c r="D104" s="320"/>
      <c r="E104" s="320"/>
      <c r="F104" s="320"/>
      <c r="G104" s="320"/>
      <c r="H104" s="320"/>
      <c r="I104" s="320"/>
      <c r="J104" s="320"/>
      <c r="K104" s="320"/>
      <c r="L104" s="320"/>
      <c r="M104" s="320"/>
      <c r="N104" s="329"/>
      <c r="O104" s="320"/>
      <c r="P104" s="320"/>
      <c r="Q104" s="320"/>
      <c r="R104" s="320"/>
      <c r="S104" s="320"/>
      <c r="T104" s="320"/>
      <c r="U104" s="320"/>
      <c r="V104" s="320"/>
      <c r="W104" s="320"/>
      <c r="X104" s="320"/>
      <c r="Y104" s="320"/>
      <c r="Z104" s="320"/>
      <c r="AA104" s="320"/>
      <c r="AB104" s="320"/>
      <c r="AC104" s="320"/>
      <c r="AD104" s="320"/>
      <c r="AE104" s="320"/>
      <c r="AF104" s="320"/>
      <c r="AG104" s="320"/>
      <c r="AH104" s="320"/>
      <c r="AI104" s="320"/>
      <c r="AJ104" s="320"/>
      <c r="AK104" s="320"/>
      <c r="AL104" s="320"/>
      <c r="AM104" s="320"/>
      <c r="AN104" s="320"/>
      <c r="AO104" s="320"/>
      <c r="AP104" s="320"/>
      <c r="AQ104" s="320"/>
      <c r="AR104" s="320"/>
      <c r="AS104" s="320"/>
      <c r="AT104" s="320"/>
    </row>
    <row r="105" ht="12" spans="1:46">
      <c r="A105" s="320"/>
      <c r="B105" s="320"/>
      <c r="C105" s="320"/>
      <c r="D105" s="320"/>
      <c r="E105" s="320"/>
      <c r="F105" s="320"/>
      <c r="G105" s="320"/>
      <c r="H105" s="320"/>
      <c r="I105" s="320"/>
      <c r="J105" s="320"/>
      <c r="K105" s="320"/>
      <c r="L105" s="320"/>
      <c r="M105" s="320"/>
      <c r="N105" s="329"/>
      <c r="O105" s="320"/>
      <c r="P105" s="320"/>
      <c r="Q105" s="320"/>
      <c r="R105" s="320"/>
      <c r="S105" s="320"/>
      <c r="T105" s="320"/>
      <c r="U105" s="320"/>
      <c r="V105" s="320"/>
      <c r="W105" s="320"/>
      <c r="X105" s="320"/>
      <c r="Y105" s="320"/>
      <c r="Z105" s="320"/>
      <c r="AA105" s="320"/>
      <c r="AB105" s="320"/>
      <c r="AC105" s="320"/>
      <c r="AD105" s="320"/>
      <c r="AE105" s="320"/>
      <c r="AF105" s="320"/>
      <c r="AG105" s="320"/>
      <c r="AH105" s="320"/>
      <c r="AI105" s="320"/>
      <c r="AJ105" s="320"/>
      <c r="AK105" s="320"/>
      <c r="AL105" s="320"/>
      <c r="AM105" s="320"/>
      <c r="AN105" s="320"/>
      <c r="AO105" s="320"/>
      <c r="AP105" s="320"/>
      <c r="AQ105" s="320"/>
      <c r="AR105" s="320"/>
      <c r="AS105" s="320"/>
      <c r="AT105" s="320"/>
    </row>
    <row r="106" ht="12" spans="1:46">
      <c r="A106" s="320"/>
      <c r="B106" s="320"/>
      <c r="C106" s="320"/>
      <c r="D106" s="320"/>
      <c r="E106" s="320"/>
      <c r="F106" s="320"/>
      <c r="G106" s="320"/>
      <c r="H106" s="320"/>
      <c r="I106" s="320"/>
      <c r="J106" s="320"/>
      <c r="K106" s="320"/>
      <c r="L106" s="320"/>
      <c r="M106" s="320"/>
      <c r="N106" s="329"/>
      <c r="O106" s="320"/>
      <c r="P106" s="320"/>
      <c r="Q106" s="320"/>
      <c r="R106" s="320"/>
      <c r="S106" s="320"/>
      <c r="T106" s="320"/>
      <c r="U106" s="320"/>
      <c r="V106" s="320"/>
      <c r="W106" s="320"/>
      <c r="X106" s="320"/>
      <c r="Y106" s="320"/>
      <c r="Z106" s="320"/>
      <c r="AA106" s="320"/>
      <c r="AB106" s="320"/>
      <c r="AC106" s="320"/>
      <c r="AD106" s="320"/>
      <c r="AE106" s="320"/>
      <c r="AF106" s="320"/>
      <c r="AG106" s="320"/>
      <c r="AH106" s="320"/>
      <c r="AI106" s="320"/>
      <c r="AJ106" s="320"/>
      <c r="AK106" s="320"/>
      <c r="AL106" s="320"/>
      <c r="AM106" s="320"/>
      <c r="AN106" s="320"/>
      <c r="AO106" s="320"/>
      <c r="AP106" s="320"/>
      <c r="AQ106" s="320"/>
      <c r="AR106" s="320"/>
      <c r="AS106" s="320"/>
      <c r="AT106" s="320"/>
    </row>
    <row r="107" ht="12" spans="1:46">
      <c r="A107" s="320"/>
      <c r="B107" s="320"/>
      <c r="C107" s="320"/>
      <c r="D107" s="320"/>
      <c r="E107" s="320"/>
      <c r="F107" s="320"/>
      <c r="G107" s="320"/>
      <c r="H107" s="320"/>
      <c r="I107" s="320"/>
      <c r="J107" s="320"/>
      <c r="K107" s="320"/>
      <c r="L107" s="320"/>
      <c r="M107" s="320"/>
      <c r="N107" s="329"/>
      <c r="O107" s="320"/>
      <c r="P107" s="320"/>
      <c r="Q107" s="320"/>
      <c r="R107" s="320"/>
      <c r="S107" s="320"/>
      <c r="T107" s="320"/>
      <c r="U107" s="320"/>
      <c r="V107" s="320"/>
      <c r="W107" s="320"/>
      <c r="X107" s="320"/>
      <c r="Y107" s="320"/>
      <c r="Z107" s="320"/>
      <c r="AA107" s="320"/>
      <c r="AB107" s="320"/>
      <c r="AC107" s="320"/>
      <c r="AD107" s="320"/>
      <c r="AE107" s="320"/>
      <c r="AF107" s="320"/>
      <c r="AG107" s="320"/>
      <c r="AH107" s="320"/>
      <c r="AI107" s="320"/>
      <c r="AJ107" s="320"/>
      <c r="AK107" s="320"/>
      <c r="AL107" s="320"/>
      <c r="AM107" s="320"/>
      <c r="AN107" s="320"/>
      <c r="AO107" s="320"/>
      <c r="AP107" s="320"/>
      <c r="AQ107" s="320"/>
      <c r="AR107" s="320"/>
      <c r="AS107" s="320"/>
      <c r="AT107" s="320"/>
    </row>
    <row r="108" ht="12" spans="1:46">
      <c r="A108" s="320"/>
      <c r="B108" s="320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9"/>
      <c r="O108" s="320"/>
      <c r="P108" s="320"/>
      <c r="Q108" s="320"/>
      <c r="R108" s="320"/>
      <c r="S108" s="320"/>
      <c r="T108" s="320"/>
      <c r="U108" s="320"/>
      <c r="V108" s="320"/>
      <c r="W108" s="320"/>
      <c r="X108" s="320"/>
      <c r="Y108" s="320"/>
      <c r="Z108" s="320"/>
      <c r="AA108" s="320"/>
      <c r="AB108" s="320"/>
      <c r="AC108" s="320"/>
      <c r="AD108" s="320"/>
      <c r="AE108" s="320"/>
      <c r="AF108" s="320"/>
      <c r="AG108" s="320"/>
      <c r="AH108" s="320"/>
      <c r="AI108" s="320"/>
      <c r="AJ108" s="320"/>
      <c r="AK108" s="320"/>
      <c r="AL108" s="320"/>
      <c r="AM108" s="320"/>
      <c r="AN108" s="320"/>
      <c r="AO108" s="320"/>
      <c r="AP108" s="320"/>
      <c r="AQ108" s="320"/>
      <c r="AR108" s="320"/>
      <c r="AS108" s="320"/>
      <c r="AT108" s="320"/>
    </row>
    <row r="109" ht="12" spans="1:46">
      <c r="A109" s="320"/>
      <c r="B109" s="320"/>
      <c r="C109" s="320"/>
      <c r="D109" s="320"/>
      <c r="E109" s="320"/>
      <c r="F109" s="320"/>
      <c r="G109" s="320"/>
      <c r="H109" s="320"/>
      <c r="I109" s="320"/>
      <c r="J109" s="320"/>
      <c r="K109" s="320"/>
      <c r="L109" s="320"/>
      <c r="M109" s="320"/>
      <c r="N109" s="329"/>
      <c r="O109" s="320"/>
      <c r="P109" s="320"/>
      <c r="Q109" s="320"/>
      <c r="R109" s="320"/>
      <c r="S109" s="320"/>
      <c r="T109" s="320"/>
      <c r="U109" s="320"/>
      <c r="V109" s="320"/>
      <c r="W109" s="320"/>
      <c r="X109" s="320"/>
      <c r="Y109" s="320"/>
      <c r="Z109" s="320"/>
      <c r="AA109" s="320"/>
      <c r="AB109" s="320"/>
      <c r="AC109" s="320"/>
      <c r="AD109" s="320"/>
      <c r="AE109" s="320"/>
      <c r="AF109" s="320"/>
      <c r="AG109" s="320"/>
      <c r="AH109" s="320"/>
      <c r="AI109" s="320"/>
      <c r="AJ109" s="320"/>
      <c r="AK109" s="320"/>
      <c r="AL109" s="320"/>
      <c r="AM109" s="320"/>
      <c r="AN109" s="320"/>
      <c r="AO109" s="320"/>
      <c r="AP109" s="320"/>
      <c r="AQ109" s="320"/>
      <c r="AR109" s="320"/>
      <c r="AS109" s="320"/>
      <c r="AT109" s="320"/>
    </row>
    <row r="110" ht="12" spans="1:46">
      <c r="A110" s="320"/>
      <c r="B110" s="320"/>
      <c r="C110" s="320"/>
      <c r="D110" s="320"/>
      <c r="E110" s="320"/>
      <c r="F110" s="320"/>
      <c r="G110" s="320"/>
      <c r="H110" s="320"/>
      <c r="I110" s="320"/>
      <c r="J110" s="320"/>
      <c r="K110" s="320"/>
      <c r="L110" s="320"/>
      <c r="M110" s="320"/>
      <c r="N110" s="329"/>
      <c r="O110" s="320"/>
      <c r="P110" s="320"/>
      <c r="Q110" s="320"/>
      <c r="R110" s="320"/>
      <c r="S110" s="320"/>
      <c r="T110" s="320"/>
      <c r="U110" s="320"/>
      <c r="V110" s="320"/>
      <c r="W110" s="320"/>
      <c r="X110" s="320"/>
      <c r="Y110" s="320"/>
      <c r="Z110" s="320"/>
      <c r="AA110" s="320"/>
      <c r="AB110" s="320"/>
      <c r="AC110" s="320"/>
      <c r="AD110" s="320"/>
      <c r="AE110" s="320"/>
      <c r="AF110" s="320"/>
      <c r="AG110" s="320"/>
      <c r="AH110" s="320"/>
      <c r="AI110" s="320"/>
      <c r="AJ110" s="320"/>
      <c r="AK110" s="320"/>
      <c r="AL110" s="320"/>
      <c r="AM110" s="320"/>
      <c r="AN110" s="320"/>
      <c r="AO110" s="320"/>
      <c r="AP110" s="320"/>
      <c r="AQ110" s="320"/>
      <c r="AR110" s="320"/>
      <c r="AS110" s="320"/>
      <c r="AT110" s="320"/>
    </row>
    <row r="111" ht="12" spans="1:46">
      <c r="A111" s="320"/>
      <c r="B111" s="320"/>
      <c r="C111" s="320"/>
      <c r="D111" s="320"/>
      <c r="E111" s="320"/>
      <c r="F111" s="320"/>
      <c r="G111" s="320"/>
      <c r="H111" s="320"/>
      <c r="I111" s="320"/>
      <c r="J111" s="320"/>
      <c r="K111" s="320"/>
      <c r="L111" s="320"/>
      <c r="M111" s="320"/>
      <c r="N111" s="329"/>
      <c r="O111" s="320"/>
      <c r="P111" s="320"/>
      <c r="Q111" s="320"/>
      <c r="R111" s="320"/>
      <c r="S111" s="320"/>
      <c r="T111" s="320"/>
      <c r="U111" s="320"/>
      <c r="V111" s="320"/>
      <c r="W111" s="320"/>
      <c r="X111" s="320"/>
      <c r="Y111" s="320"/>
      <c r="Z111" s="320"/>
      <c r="AA111" s="320"/>
      <c r="AB111" s="320"/>
      <c r="AC111" s="320"/>
      <c r="AD111" s="320"/>
      <c r="AE111" s="320"/>
      <c r="AF111" s="320"/>
      <c r="AG111" s="320"/>
      <c r="AH111" s="320"/>
      <c r="AI111" s="320"/>
      <c r="AJ111" s="320"/>
      <c r="AK111" s="320"/>
      <c r="AL111" s="320"/>
      <c r="AM111" s="320"/>
      <c r="AN111" s="320"/>
      <c r="AO111" s="320"/>
      <c r="AP111" s="320"/>
      <c r="AQ111" s="320"/>
      <c r="AR111" s="320"/>
      <c r="AS111" s="320"/>
      <c r="AT111" s="320"/>
    </row>
    <row r="112" ht="12" spans="1:46">
      <c r="A112" s="320"/>
      <c r="B112" s="320"/>
      <c r="C112" s="320"/>
      <c r="D112" s="320"/>
      <c r="E112" s="320"/>
      <c r="F112" s="320"/>
      <c r="G112" s="320"/>
      <c r="H112" s="320"/>
      <c r="I112" s="320"/>
      <c r="J112" s="320"/>
      <c r="K112" s="320"/>
      <c r="L112" s="320"/>
      <c r="M112" s="320"/>
      <c r="N112" s="329"/>
      <c r="O112" s="320"/>
      <c r="P112" s="320"/>
      <c r="Q112" s="320"/>
      <c r="R112" s="320"/>
      <c r="S112" s="320"/>
      <c r="T112" s="320"/>
      <c r="U112" s="320"/>
      <c r="V112" s="320"/>
      <c r="W112" s="320"/>
      <c r="X112" s="320"/>
      <c r="Y112" s="320"/>
      <c r="Z112" s="320"/>
      <c r="AA112" s="320"/>
      <c r="AB112" s="320"/>
      <c r="AC112" s="320"/>
      <c r="AD112" s="320"/>
      <c r="AE112" s="320"/>
      <c r="AF112" s="320"/>
      <c r="AG112" s="320"/>
      <c r="AH112" s="320"/>
      <c r="AI112" s="320"/>
      <c r="AJ112" s="320"/>
      <c r="AK112" s="320"/>
      <c r="AL112" s="320"/>
      <c r="AM112" s="320"/>
      <c r="AN112" s="320"/>
      <c r="AO112" s="320"/>
      <c r="AP112" s="320"/>
      <c r="AQ112" s="320"/>
      <c r="AR112" s="320"/>
      <c r="AS112" s="320"/>
      <c r="AT112" s="320"/>
    </row>
    <row r="113" ht="12" spans="1:46">
      <c r="A113" s="320"/>
      <c r="B113" s="320"/>
      <c r="C113" s="320"/>
      <c r="D113" s="320"/>
      <c r="E113" s="320"/>
      <c r="F113" s="320"/>
      <c r="G113" s="320"/>
      <c r="H113" s="320"/>
      <c r="I113" s="320"/>
      <c r="J113" s="320"/>
      <c r="K113" s="320"/>
      <c r="L113" s="320"/>
      <c r="M113" s="320"/>
      <c r="N113" s="329"/>
      <c r="O113" s="320"/>
      <c r="P113" s="320"/>
      <c r="Q113" s="320"/>
      <c r="R113" s="320"/>
      <c r="S113" s="320"/>
      <c r="T113" s="320"/>
      <c r="U113" s="320"/>
      <c r="V113" s="320"/>
      <c r="W113" s="320"/>
      <c r="X113" s="320"/>
      <c r="Y113" s="320"/>
      <c r="Z113" s="320"/>
      <c r="AA113" s="320"/>
      <c r="AB113" s="320"/>
      <c r="AC113" s="320"/>
      <c r="AD113" s="320"/>
      <c r="AE113" s="320"/>
      <c r="AF113" s="320"/>
      <c r="AG113" s="320"/>
      <c r="AH113" s="320"/>
      <c r="AI113" s="320"/>
      <c r="AJ113" s="320"/>
      <c r="AK113" s="320"/>
      <c r="AL113" s="320"/>
      <c r="AM113" s="320"/>
      <c r="AN113" s="320"/>
      <c r="AO113" s="320"/>
      <c r="AP113" s="320"/>
      <c r="AQ113" s="320"/>
      <c r="AR113" s="320"/>
      <c r="AS113" s="320"/>
      <c r="AT113" s="320"/>
    </row>
    <row r="114" ht="12" spans="1:46">
      <c r="A114" s="320"/>
      <c r="B114" s="320"/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9"/>
      <c r="O114" s="320"/>
      <c r="P114" s="320"/>
      <c r="Q114" s="320"/>
      <c r="R114" s="320"/>
      <c r="S114" s="320"/>
      <c r="T114" s="320"/>
      <c r="U114" s="320"/>
      <c r="V114" s="320"/>
      <c r="W114" s="320"/>
      <c r="X114" s="320"/>
      <c r="Y114" s="320"/>
      <c r="Z114" s="320"/>
      <c r="AA114" s="320"/>
      <c r="AB114" s="320"/>
      <c r="AC114" s="320"/>
      <c r="AD114" s="320"/>
      <c r="AE114" s="320"/>
      <c r="AF114" s="320"/>
      <c r="AG114" s="320"/>
      <c r="AH114" s="320"/>
      <c r="AI114" s="320"/>
      <c r="AJ114" s="320"/>
      <c r="AK114" s="320"/>
      <c r="AL114" s="320"/>
      <c r="AM114" s="320"/>
      <c r="AN114" s="320"/>
      <c r="AO114" s="320"/>
      <c r="AP114" s="320"/>
      <c r="AQ114" s="320"/>
      <c r="AR114" s="320"/>
      <c r="AS114" s="320"/>
      <c r="AT114" s="320"/>
    </row>
    <row r="115" ht="12" spans="1:46">
      <c r="A115" s="320"/>
      <c r="B115" s="320"/>
      <c r="C115" s="320"/>
      <c r="D115" s="320"/>
      <c r="E115" s="320"/>
      <c r="F115" s="320"/>
      <c r="G115" s="320"/>
      <c r="H115" s="320"/>
      <c r="I115" s="320"/>
      <c r="J115" s="320"/>
      <c r="K115" s="320"/>
      <c r="L115" s="320"/>
      <c r="M115" s="320"/>
      <c r="N115" s="329"/>
      <c r="O115" s="320"/>
      <c r="P115" s="320"/>
      <c r="Q115" s="320"/>
      <c r="R115" s="320"/>
      <c r="S115" s="320"/>
      <c r="T115" s="320"/>
      <c r="U115" s="320"/>
      <c r="V115" s="320"/>
      <c r="W115" s="320"/>
      <c r="X115" s="320"/>
      <c r="Y115" s="320"/>
      <c r="Z115" s="320"/>
      <c r="AA115" s="320"/>
      <c r="AB115" s="320"/>
      <c r="AC115" s="320"/>
      <c r="AD115" s="320"/>
      <c r="AE115" s="320"/>
      <c r="AF115" s="320"/>
      <c r="AG115" s="320"/>
      <c r="AH115" s="320"/>
      <c r="AI115" s="320"/>
      <c r="AJ115" s="320"/>
      <c r="AK115" s="320"/>
      <c r="AL115" s="320"/>
      <c r="AM115" s="320"/>
      <c r="AN115" s="320"/>
      <c r="AO115" s="320"/>
      <c r="AP115" s="320"/>
      <c r="AQ115" s="320"/>
      <c r="AR115" s="320"/>
      <c r="AS115" s="320"/>
      <c r="AT115" s="320"/>
    </row>
    <row r="116" ht="12" spans="1:46">
      <c r="A116" s="320"/>
      <c r="B116" s="320"/>
      <c r="C116" s="320"/>
      <c r="D116" s="320"/>
      <c r="E116" s="320"/>
      <c r="F116" s="320"/>
      <c r="G116" s="320"/>
      <c r="H116" s="320"/>
      <c r="I116" s="320"/>
      <c r="J116" s="320"/>
      <c r="K116" s="320"/>
      <c r="L116" s="320"/>
      <c r="M116" s="320"/>
      <c r="N116" s="329"/>
      <c r="O116" s="320"/>
      <c r="P116" s="320"/>
      <c r="Q116" s="320"/>
      <c r="R116" s="320"/>
      <c r="S116" s="320"/>
      <c r="T116" s="320"/>
      <c r="U116" s="320"/>
      <c r="V116" s="320"/>
      <c r="W116" s="320"/>
      <c r="X116" s="320"/>
      <c r="Y116" s="320"/>
      <c r="Z116" s="320"/>
      <c r="AA116" s="320"/>
      <c r="AB116" s="320"/>
      <c r="AC116" s="320"/>
      <c r="AD116" s="320"/>
      <c r="AE116" s="320"/>
      <c r="AF116" s="320"/>
      <c r="AG116" s="320"/>
      <c r="AH116" s="320"/>
      <c r="AI116" s="320"/>
      <c r="AJ116" s="320"/>
      <c r="AK116" s="320"/>
      <c r="AL116" s="320"/>
      <c r="AM116" s="320"/>
      <c r="AN116" s="320"/>
      <c r="AO116" s="320"/>
      <c r="AP116" s="320"/>
      <c r="AQ116" s="320"/>
      <c r="AR116" s="320"/>
      <c r="AS116" s="320"/>
      <c r="AT116" s="320"/>
    </row>
    <row r="117" ht="12" spans="1:46">
      <c r="A117" s="320"/>
      <c r="B117" s="320"/>
      <c r="C117" s="320"/>
      <c r="D117" s="320"/>
      <c r="E117" s="320"/>
      <c r="F117" s="320"/>
      <c r="G117" s="320"/>
      <c r="H117" s="320"/>
      <c r="I117" s="320"/>
      <c r="J117" s="320"/>
      <c r="K117" s="320"/>
      <c r="L117" s="320"/>
      <c r="M117" s="320"/>
      <c r="N117" s="329"/>
      <c r="O117" s="320"/>
      <c r="P117" s="320"/>
      <c r="Q117" s="320"/>
      <c r="R117" s="320"/>
      <c r="S117" s="320"/>
      <c r="T117" s="320"/>
      <c r="U117" s="320"/>
      <c r="V117" s="320"/>
      <c r="W117" s="320"/>
      <c r="X117" s="320"/>
      <c r="Y117" s="320"/>
      <c r="Z117" s="320"/>
      <c r="AA117" s="320"/>
      <c r="AB117" s="320"/>
      <c r="AC117" s="320"/>
      <c r="AD117" s="320"/>
      <c r="AE117" s="320"/>
      <c r="AF117" s="320"/>
      <c r="AG117" s="320"/>
      <c r="AH117" s="320"/>
      <c r="AI117" s="320"/>
      <c r="AJ117" s="320"/>
      <c r="AK117" s="320"/>
      <c r="AL117" s="320"/>
      <c r="AM117" s="320"/>
      <c r="AN117" s="320"/>
      <c r="AO117" s="320"/>
      <c r="AP117" s="320"/>
      <c r="AQ117" s="320"/>
      <c r="AR117" s="320"/>
      <c r="AS117" s="320"/>
      <c r="AT117" s="320"/>
    </row>
    <row r="118" ht="12" spans="1:46">
      <c r="A118" s="320"/>
      <c r="B118" s="320"/>
      <c r="C118" s="320"/>
      <c r="D118" s="320"/>
      <c r="E118" s="320"/>
      <c r="F118" s="320"/>
      <c r="G118" s="320"/>
      <c r="H118" s="320"/>
      <c r="I118" s="320"/>
      <c r="J118" s="320"/>
      <c r="K118" s="320"/>
      <c r="L118" s="320"/>
      <c r="M118" s="320"/>
      <c r="N118" s="329"/>
      <c r="O118" s="320"/>
      <c r="P118" s="320"/>
      <c r="Q118" s="320"/>
      <c r="R118" s="320"/>
      <c r="S118" s="320"/>
      <c r="T118" s="320"/>
      <c r="U118" s="320"/>
      <c r="V118" s="320"/>
      <c r="W118" s="320"/>
      <c r="X118" s="320"/>
      <c r="Y118" s="320"/>
      <c r="Z118" s="320"/>
      <c r="AA118" s="320"/>
      <c r="AB118" s="320"/>
      <c r="AC118" s="320"/>
      <c r="AD118" s="320"/>
      <c r="AE118" s="320"/>
      <c r="AF118" s="320"/>
      <c r="AG118" s="320"/>
      <c r="AH118" s="320"/>
      <c r="AI118" s="320"/>
      <c r="AJ118" s="320"/>
      <c r="AK118" s="320"/>
      <c r="AL118" s="320"/>
      <c r="AM118" s="320"/>
      <c r="AN118" s="320"/>
      <c r="AO118" s="320"/>
      <c r="AP118" s="320"/>
      <c r="AQ118" s="320"/>
      <c r="AR118" s="320"/>
      <c r="AS118" s="320"/>
      <c r="AT118" s="320"/>
    </row>
    <row r="119" ht="12" spans="1:46">
      <c r="A119" s="320"/>
      <c r="B119" s="320"/>
      <c r="C119" s="320"/>
      <c r="D119" s="320"/>
      <c r="E119" s="320"/>
      <c r="F119" s="320"/>
      <c r="G119" s="320"/>
      <c r="H119" s="320"/>
      <c r="I119" s="320"/>
      <c r="J119" s="320"/>
      <c r="K119" s="320"/>
      <c r="L119" s="320"/>
      <c r="M119" s="320"/>
      <c r="N119" s="329"/>
      <c r="O119" s="320"/>
      <c r="P119" s="320"/>
      <c r="Q119" s="320"/>
      <c r="R119" s="320"/>
      <c r="S119" s="320"/>
      <c r="T119" s="320"/>
      <c r="U119" s="320"/>
      <c r="V119" s="320"/>
      <c r="W119" s="320"/>
      <c r="X119" s="320"/>
      <c r="Y119" s="320"/>
      <c r="Z119" s="320"/>
      <c r="AA119" s="320"/>
      <c r="AB119" s="320"/>
      <c r="AC119" s="320"/>
      <c r="AD119" s="320"/>
      <c r="AE119" s="320"/>
      <c r="AF119" s="320"/>
      <c r="AG119" s="320"/>
      <c r="AH119" s="320"/>
      <c r="AI119" s="320"/>
      <c r="AJ119" s="320"/>
      <c r="AK119" s="320"/>
      <c r="AL119" s="320"/>
      <c r="AM119" s="320"/>
      <c r="AN119" s="320"/>
      <c r="AO119" s="320"/>
      <c r="AP119" s="320"/>
      <c r="AQ119" s="320"/>
      <c r="AR119" s="320"/>
      <c r="AS119" s="320"/>
      <c r="AT119" s="320"/>
    </row>
    <row r="120" ht="12" spans="1:46">
      <c r="A120" s="320"/>
      <c r="B120" s="320"/>
      <c r="C120" s="320"/>
      <c r="D120" s="320"/>
      <c r="E120" s="320"/>
      <c r="F120" s="320"/>
      <c r="G120" s="320"/>
      <c r="H120" s="320"/>
      <c r="I120" s="320"/>
      <c r="J120" s="320"/>
      <c r="K120" s="320"/>
      <c r="L120" s="320"/>
      <c r="M120" s="320"/>
      <c r="N120" s="329"/>
      <c r="O120" s="320"/>
      <c r="P120" s="320"/>
      <c r="Q120" s="320"/>
      <c r="R120" s="320"/>
      <c r="S120" s="320"/>
      <c r="T120" s="320"/>
      <c r="U120" s="320"/>
      <c r="V120" s="320"/>
      <c r="W120" s="320"/>
      <c r="X120" s="320"/>
      <c r="Y120" s="320"/>
      <c r="Z120" s="320"/>
      <c r="AA120" s="320"/>
      <c r="AB120" s="320"/>
      <c r="AC120" s="320"/>
      <c r="AD120" s="320"/>
      <c r="AE120" s="320"/>
      <c r="AF120" s="320"/>
      <c r="AG120" s="320"/>
      <c r="AH120" s="320"/>
      <c r="AI120" s="320"/>
      <c r="AJ120" s="320"/>
      <c r="AK120" s="320"/>
      <c r="AL120" s="320"/>
      <c r="AM120" s="320"/>
      <c r="AN120" s="320"/>
      <c r="AO120" s="320"/>
      <c r="AP120" s="320"/>
      <c r="AQ120" s="320"/>
      <c r="AR120" s="320"/>
      <c r="AS120" s="320"/>
      <c r="AT120" s="320"/>
    </row>
    <row r="121" ht="12" spans="1:46">
      <c r="A121" s="320"/>
      <c r="B121" s="320"/>
      <c r="C121" s="320"/>
      <c r="D121" s="320"/>
      <c r="E121" s="320"/>
      <c r="F121" s="320"/>
      <c r="G121" s="320"/>
      <c r="H121" s="320"/>
      <c r="I121" s="320"/>
      <c r="J121" s="320"/>
      <c r="K121" s="320"/>
      <c r="L121" s="320"/>
      <c r="M121" s="320"/>
      <c r="N121" s="329"/>
      <c r="O121" s="320"/>
      <c r="P121" s="320"/>
      <c r="Q121" s="320"/>
      <c r="R121" s="320"/>
      <c r="S121" s="320"/>
      <c r="T121" s="320"/>
      <c r="U121" s="320"/>
      <c r="V121" s="320"/>
      <c r="W121" s="320"/>
      <c r="X121" s="320"/>
      <c r="Y121" s="320"/>
      <c r="Z121" s="320"/>
      <c r="AA121" s="320"/>
      <c r="AB121" s="320"/>
      <c r="AC121" s="320"/>
      <c r="AD121" s="320"/>
      <c r="AE121" s="320"/>
      <c r="AF121" s="320"/>
      <c r="AG121" s="320"/>
      <c r="AH121" s="320"/>
      <c r="AI121" s="320"/>
      <c r="AJ121" s="320"/>
      <c r="AK121" s="320"/>
      <c r="AL121" s="320"/>
      <c r="AM121" s="320"/>
      <c r="AN121" s="320"/>
      <c r="AO121" s="320"/>
      <c r="AP121" s="320"/>
      <c r="AQ121" s="320"/>
      <c r="AR121" s="320"/>
      <c r="AS121" s="320"/>
      <c r="AT121" s="320"/>
    </row>
    <row r="122" ht="12" spans="1:46">
      <c r="A122" s="320"/>
      <c r="B122" s="320"/>
      <c r="C122" s="320"/>
      <c r="D122" s="320"/>
      <c r="E122" s="320"/>
      <c r="F122" s="320"/>
      <c r="G122" s="320"/>
      <c r="H122" s="320"/>
      <c r="I122" s="320"/>
      <c r="J122" s="320"/>
      <c r="K122" s="320"/>
      <c r="L122" s="320"/>
      <c r="M122" s="320"/>
      <c r="N122" s="329"/>
      <c r="O122" s="320"/>
      <c r="P122" s="320"/>
      <c r="Q122" s="320"/>
      <c r="R122" s="320"/>
      <c r="S122" s="320"/>
      <c r="T122" s="320"/>
      <c r="U122" s="320"/>
      <c r="V122" s="320"/>
      <c r="W122" s="320"/>
      <c r="X122" s="320"/>
      <c r="Y122" s="320"/>
      <c r="Z122" s="320"/>
      <c r="AA122" s="320"/>
      <c r="AB122" s="320"/>
      <c r="AC122" s="320"/>
      <c r="AD122" s="320"/>
      <c r="AE122" s="320"/>
      <c r="AF122" s="320"/>
      <c r="AG122" s="320"/>
      <c r="AH122" s="320"/>
      <c r="AI122" s="320"/>
      <c r="AJ122" s="320"/>
      <c r="AK122" s="320"/>
      <c r="AL122" s="320"/>
      <c r="AM122" s="320"/>
      <c r="AN122" s="320"/>
      <c r="AO122" s="320"/>
      <c r="AP122" s="320"/>
      <c r="AQ122" s="320"/>
      <c r="AR122" s="320"/>
      <c r="AS122" s="320"/>
      <c r="AT122" s="320"/>
    </row>
    <row r="123" ht="12" spans="1:46">
      <c r="A123" s="320"/>
      <c r="B123" s="320"/>
      <c r="C123" s="320"/>
      <c r="D123" s="320"/>
      <c r="E123" s="320"/>
      <c r="F123" s="320"/>
      <c r="G123" s="320"/>
      <c r="H123" s="320"/>
      <c r="I123" s="320"/>
      <c r="J123" s="320"/>
      <c r="K123" s="320"/>
      <c r="L123" s="320"/>
      <c r="M123" s="320"/>
      <c r="N123" s="329"/>
      <c r="O123" s="320"/>
      <c r="P123" s="320"/>
      <c r="Q123" s="320"/>
      <c r="R123" s="320"/>
      <c r="S123" s="320"/>
      <c r="T123" s="320"/>
      <c r="U123" s="320"/>
      <c r="V123" s="320"/>
      <c r="W123" s="320"/>
      <c r="X123" s="320"/>
      <c r="Y123" s="320"/>
      <c r="Z123" s="320"/>
      <c r="AA123" s="320"/>
      <c r="AB123" s="320"/>
      <c r="AC123" s="320"/>
      <c r="AD123" s="320"/>
      <c r="AE123" s="320"/>
      <c r="AF123" s="320"/>
      <c r="AG123" s="320"/>
      <c r="AH123" s="320"/>
      <c r="AI123" s="320"/>
      <c r="AJ123" s="320"/>
      <c r="AK123" s="320"/>
      <c r="AL123" s="320"/>
      <c r="AM123" s="320"/>
      <c r="AN123" s="320"/>
      <c r="AO123" s="320"/>
      <c r="AP123" s="320"/>
      <c r="AQ123" s="320"/>
      <c r="AR123" s="320"/>
      <c r="AS123" s="320"/>
      <c r="AT123" s="320"/>
    </row>
    <row r="124" ht="12" spans="1:46">
      <c r="A124" s="320"/>
      <c r="B124" s="320"/>
      <c r="C124" s="320"/>
      <c r="D124" s="320"/>
      <c r="E124" s="320"/>
      <c r="F124" s="320"/>
      <c r="G124" s="320"/>
      <c r="H124" s="320"/>
      <c r="I124" s="320"/>
      <c r="J124" s="320"/>
      <c r="K124" s="320"/>
      <c r="L124" s="320"/>
      <c r="M124" s="320"/>
      <c r="N124" s="329"/>
      <c r="O124" s="320"/>
      <c r="P124" s="320"/>
      <c r="Q124" s="320"/>
      <c r="R124" s="320"/>
      <c r="S124" s="320"/>
      <c r="T124" s="320"/>
      <c r="U124" s="320"/>
      <c r="V124" s="320"/>
      <c r="W124" s="320"/>
      <c r="X124" s="320"/>
      <c r="Y124" s="320"/>
      <c r="Z124" s="320"/>
      <c r="AA124" s="320"/>
      <c r="AB124" s="320"/>
      <c r="AC124" s="320"/>
      <c r="AD124" s="320"/>
      <c r="AE124" s="320"/>
      <c r="AF124" s="320"/>
      <c r="AG124" s="320"/>
      <c r="AH124" s="320"/>
      <c r="AI124" s="320"/>
      <c r="AJ124" s="320"/>
      <c r="AK124" s="320"/>
      <c r="AL124" s="320"/>
      <c r="AM124" s="320"/>
      <c r="AN124" s="320"/>
      <c r="AO124" s="320"/>
      <c r="AP124" s="320"/>
      <c r="AQ124" s="320"/>
      <c r="AR124" s="320"/>
      <c r="AS124" s="320"/>
      <c r="AT124" s="320"/>
    </row>
    <row r="125" ht="12" spans="1:46">
      <c r="A125" s="320"/>
      <c r="B125" s="320"/>
      <c r="C125" s="320"/>
      <c r="D125" s="320"/>
      <c r="E125" s="320"/>
      <c r="F125" s="320"/>
      <c r="G125" s="320"/>
      <c r="H125" s="320"/>
      <c r="I125" s="320"/>
      <c r="J125" s="320"/>
      <c r="K125" s="320"/>
      <c r="L125" s="320"/>
      <c r="M125" s="320"/>
      <c r="N125" s="329"/>
      <c r="O125" s="320"/>
      <c r="P125" s="320"/>
      <c r="Q125" s="320"/>
      <c r="R125" s="320"/>
      <c r="S125" s="320"/>
      <c r="T125" s="320"/>
      <c r="U125" s="320"/>
      <c r="V125" s="320"/>
      <c r="W125" s="320"/>
      <c r="X125" s="320"/>
      <c r="Y125" s="320"/>
      <c r="Z125" s="320"/>
      <c r="AA125" s="320"/>
      <c r="AB125" s="320"/>
      <c r="AC125" s="320"/>
      <c r="AD125" s="320"/>
      <c r="AE125" s="320"/>
      <c r="AF125" s="320"/>
      <c r="AG125" s="320"/>
      <c r="AH125" s="320"/>
      <c r="AI125" s="320"/>
      <c r="AJ125" s="320"/>
      <c r="AK125" s="320"/>
      <c r="AL125" s="320"/>
      <c r="AM125" s="320"/>
      <c r="AN125" s="320"/>
      <c r="AO125" s="320"/>
      <c r="AP125" s="320"/>
      <c r="AQ125" s="320"/>
      <c r="AR125" s="320"/>
      <c r="AS125" s="320"/>
      <c r="AT125" s="320"/>
    </row>
    <row r="126" ht="12" spans="1:46">
      <c r="A126" s="320"/>
      <c r="B126" s="320"/>
      <c r="C126" s="320"/>
      <c r="D126" s="320"/>
      <c r="E126" s="320"/>
      <c r="F126" s="320"/>
      <c r="G126" s="320"/>
      <c r="H126" s="320"/>
      <c r="I126" s="320"/>
      <c r="J126" s="320"/>
      <c r="K126" s="320"/>
      <c r="L126" s="320"/>
      <c r="M126" s="320"/>
      <c r="N126" s="329"/>
      <c r="O126" s="320"/>
      <c r="P126" s="320"/>
      <c r="Q126" s="320"/>
      <c r="R126" s="320"/>
      <c r="S126" s="320"/>
      <c r="T126" s="320"/>
      <c r="U126" s="320"/>
      <c r="V126" s="320"/>
      <c r="W126" s="320"/>
      <c r="X126" s="320"/>
      <c r="Y126" s="320"/>
      <c r="Z126" s="320"/>
      <c r="AA126" s="320"/>
      <c r="AB126" s="320"/>
      <c r="AC126" s="320"/>
      <c r="AD126" s="320"/>
      <c r="AE126" s="320"/>
      <c r="AF126" s="320"/>
      <c r="AG126" s="320"/>
      <c r="AH126" s="320"/>
      <c r="AI126" s="320"/>
      <c r="AJ126" s="320"/>
      <c r="AK126" s="320"/>
      <c r="AL126" s="320"/>
      <c r="AM126" s="320"/>
      <c r="AN126" s="320"/>
      <c r="AO126" s="320"/>
      <c r="AP126" s="320"/>
      <c r="AQ126" s="320"/>
      <c r="AR126" s="320"/>
      <c r="AS126" s="320"/>
      <c r="AT126" s="320"/>
    </row>
    <row r="127" ht="12" spans="1:46">
      <c r="A127" s="320"/>
      <c r="B127" s="320"/>
      <c r="C127" s="320"/>
      <c r="D127" s="320"/>
      <c r="E127" s="320"/>
      <c r="F127" s="320"/>
      <c r="G127" s="320"/>
      <c r="H127" s="320"/>
      <c r="I127" s="320"/>
      <c r="J127" s="320"/>
      <c r="K127" s="320"/>
      <c r="L127" s="320"/>
      <c r="M127" s="320"/>
      <c r="N127" s="329"/>
      <c r="O127" s="320"/>
      <c r="P127" s="320"/>
      <c r="Q127" s="320"/>
      <c r="R127" s="320"/>
      <c r="S127" s="320"/>
      <c r="T127" s="320"/>
      <c r="U127" s="320"/>
      <c r="V127" s="320"/>
      <c r="W127" s="320"/>
      <c r="X127" s="320"/>
      <c r="Y127" s="320"/>
      <c r="Z127" s="320"/>
      <c r="AA127" s="320"/>
      <c r="AB127" s="320"/>
      <c r="AC127" s="320"/>
      <c r="AD127" s="320"/>
      <c r="AE127" s="320"/>
      <c r="AF127" s="320"/>
      <c r="AG127" s="320"/>
      <c r="AH127" s="320"/>
      <c r="AI127" s="320"/>
      <c r="AJ127" s="320"/>
      <c r="AK127" s="320"/>
      <c r="AL127" s="320"/>
      <c r="AM127" s="320"/>
      <c r="AN127" s="320"/>
      <c r="AO127" s="320"/>
      <c r="AP127" s="320"/>
      <c r="AQ127" s="320"/>
      <c r="AR127" s="320"/>
      <c r="AS127" s="320"/>
      <c r="AT127" s="320"/>
    </row>
    <row r="128" ht="12" spans="1:46">
      <c r="A128" s="320"/>
      <c r="B128" s="320"/>
      <c r="C128" s="320"/>
      <c r="D128" s="320"/>
      <c r="E128" s="320"/>
      <c r="F128" s="320"/>
      <c r="G128" s="320"/>
      <c r="H128" s="320"/>
      <c r="I128" s="320"/>
      <c r="J128" s="320"/>
      <c r="K128" s="320"/>
      <c r="L128" s="320"/>
      <c r="M128" s="320"/>
      <c r="N128" s="329"/>
      <c r="O128" s="320"/>
      <c r="P128" s="320"/>
      <c r="Q128" s="320"/>
      <c r="R128" s="320"/>
      <c r="S128" s="320"/>
      <c r="T128" s="320"/>
      <c r="U128" s="320"/>
      <c r="V128" s="320"/>
      <c r="W128" s="320"/>
      <c r="X128" s="320"/>
      <c r="Y128" s="320"/>
      <c r="Z128" s="320"/>
      <c r="AA128" s="320"/>
      <c r="AB128" s="320"/>
      <c r="AC128" s="320"/>
      <c r="AD128" s="320"/>
      <c r="AE128" s="320"/>
      <c r="AF128" s="320"/>
      <c r="AG128" s="320"/>
      <c r="AH128" s="320"/>
      <c r="AI128" s="320"/>
      <c r="AJ128" s="320"/>
      <c r="AK128" s="320"/>
      <c r="AL128" s="320"/>
      <c r="AM128" s="320"/>
      <c r="AN128" s="320"/>
      <c r="AO128" s="320"/>
      <c r="AP128" s="320"/>
      <c r="AQ128" s="320"/>
      <c r="AR128" s="320"/>
      <c r="AS128" s="320"/>
      <c r="AT128" s="320"/>
    </row>
    <row r="129" ht="12" spans="1:46">
      <c r="A129" s="320"/>
      <c r="B129" s="320"/>
      <c r="C129" s="320"/>
      <c r="D129" s="320"/>
      <c r="E129" s="320"/>
      <c r="F129" s="320"/>
      <c r="G129" s="320"/>
      <c r="H129" s="320"/>
      <c r="I129" s="320"/>
      <c r="J129" s="320"/>
      <c r="K129" s="320"/>
      <c r="L129" s="320"/>
      <c r="M129" s="320"/>
      <c r="N129" s="329"/>
      <c r="O129" s="320"/>
      <c r="P129" s="320"/>
      <c r="Q129" s="320"/>
      <c r="R129" s="320"/>
      <c r="S129" s="320"/>
      <c r="T129" s="320"/>
      <c r="U129" s="320"/>
      <c r="V129" s="320"/>
      <c r="W129" s="320"/>
      <c r="X129" s="320"/>
      <c r="Y129" s="320"/>
      <c r="Z129" s="320"/>
      <c r="AA129" s="320"/>
      <c r="AB129" s="320"/>
      <c r="AC129" s="320"/>
      <c r="AD129" s="320"/>
      <c r="AE129" s="320"/>
      <c r="AF129" s="320"/>
      <c r="AG129" s="320"/>
      <c r="AH129" s="320"/>
      <c r="AI129" s="320"/>
      <c r="AJ129" s="320"/>
      <c r="AK129" s="320"/>
      <c r="AL129" s="320"/>
      <c r="AM129" s="320"/>
      <c r="AN129" s="320"/>
      <c r="AO129" s="320"/>
      <c r="AP129" s="320"/>
      <c r="AQ129" s="320"/>
      <c r="AR129" s="320"/>
      <c r="AS129" s="320"/>
      <c r="AT129" s="320"/>
    </row>
    <row r="130" ht="12" spans="1:46">
      <c r="A130" s="320"/>
      <c r="B130" s="320"/>
      <c r="C130" s="320"/>
      <c r="D130" s="320"/>
      <c r="E130" s="320"/>
      <c r="F130" s="320"/>
      <c r="G130" s="320"/>
      <c r="H130" s="320"/>
      <c r="I130" s="320"/>
      <c r="J130" s="320"/>
      <c r="K130" s="320"/>
      <c r="L130" s="320"/>
      <c r="M130" s="320"/>
      <c r="N130" s="329"/>
      <c r="O130" s="320"/>
      <c r="P130" s="320"/>
      <c r="Q130" s="320"/>
      <c r="R130" s="320"/>
      <c r="S130" s="320"/>
      <c r="T130" s="320"/>
      <c r="U130" s="320"/>
      <c r="V130" s="320"/>
      <c r="W130" s="320"/>
      <c r="X130" s="320"/>
      <c r="Y130" s="320"/>
      <c r="Z130" s="320"/>
      <c r="AA130" s="320"/>
      <c r="AB130" s="320"/>
      <c r="AC130" s="320"/>
      <c r="AD130" s="320"/>
      <c r="AE130" s="320"/>
      <c r="AF130" s="320"/>
      <c r="AG130" s="320"/>
      <c r="AH130" s="320"/>
      <c r="AI130" s="320"/>
      <c r="AJ130" s="320"/>
      <c r="AK130" s="320"/>
      <c r="AL130" s="320"/>
      <c r="AM130" s="320"/>
      <c r="AN130" s="320"/>
      <c r="AO130" s="320"/>
      <c r="AP130" s="320"/>
      <c r="AQ130" s="320"/>
      <c r="AR130" s="320"/>
      <c r="AS130" s="320"/>
      <c r="AT130" s="320"/>
    </row>
    <row r="131" ht="12" spans="1:46">
      <c r="A131" s="320"/>
      <c r="B131" s="320"/>
      <c r="C131" s="320"/>
      <c r="D131" s="320"/>
      <c r="E131" s="320"/>
      <c r="F131" s="320"/>
      <c r="G131" s="320"/>
      <c r="H131" s="320"/>
      <c r="I131" s="320"/>
      <c r="J131" s="320"/>
      <c r="K131" s="320"/>
      <c r="L131" s="320"/>
      <c r="M131" s="320"/>
      <c r="N131" s="329"/>
      <c r="O131" s="320"/>
      <c r="P131" s="320"/>
      <c r="Q131" s="320"/>
      <c r="R131" s="320"/>
      <c r="S131" s="320"/>
      <c r="T131" s="320"/>
      <c r="U131" s="320"/>
      <c r="V131" s="320"/>
      <c r="W131" s="320"/>
      <c r="X131" s="320"/>
      <c r="Y131" s="320"/>
      <c r="Z131" s="320"/>
      <c r="AA131" s="320"/>
      <c r="AB131" s="320"/>
      <c r="AC131" s="320"/>
      <c r="AD131" s="320"/>
      <c r="AE131" s="320"/>
      <c r="AF131" s="320"/>
      <c r="AG131" s="320"/>
      <c r="AH131" s="320"/>
      <c r="AI131" s="320"/>
      <c r="AJ131" s="320"/>
      <c r="AK131" s="320"/>
      <c r="AL131" s="320"/>
      <c r="AM131" s="320"/>
      <c r="AN131" s="320"/>
      <c r="AO131" s="320"/>
      <c r="AP131" s="320"/>
      <c r="AQ131" s="320"/>
      <c r="AR131" s="320"/>
      <c r="AS131" s="320"/>
      <c r="AT131" s="320"/>
    </row>
    <row r="132" ht="12" spans="1:46">
      <c r="A132" s="320"/>
      <c r="B132" s="320"/>
      <c r="C132" s="320"/>
      <c r="D132" s="320"/>
      <c r="E132" s="320"/>
      <c r="F132" s="320"/>
      <c r="G132" s="320"/>
      <c r="H132" s="320"/>
      <c r="I132" s="320"/>
      <c r="J132" s="320"/>
      <c r="K132" s="320"/>
      <c r="L132" s="320"/>
      <c r="M132" s="320"/>
      <c r="N132" s="329"/>
      <c r="O132" s="320"/>
      <c r="P132" s="320"/>
      <c r="Q132" s="320"/>
      <c r="R132" s="320"/>
      <c r="S132" s="320"/>
      <c r="T132" s="320"/>
      <c r="U132" s="320"/>
      <c r="V132" s="320"/>
      <c r="W132" s="320"/>
      <c r="X132" s="320"/>
      <c r="Y132" s="320"/>
      <c r="Z132" s="320"/>
      <c r="AA132" s="320"/>
      <c r="AB132" s="320"/>
      <c r="AC132" s="320"/>
      <c r="AD132" s="320"/>
      <c r="AE132" s="320"/>
      <c r="AF132" s="320"/>
      <c r="AG132" s="320"/>
      <c r="AH132" s="320"/>
      <c r="AI132" s="320"/>
      <c r="AJ132" s="320"/>
      <c r="AK132" s="320"/>
      <c r="AL132" s="320"/>
      <c r="AM132" s="320"/>
      <c r="AN132" s="320"/>
      <c r="AO132" s="320"/>
      <c r="AP132" s="320"/>
      <c r="AQ132" s="320"/>
      <c r="AR132" s="320"/>
      <c r="AS132" s="320"/>
      <c r="AT132" s="320"/>
    </row>
    <row r="133" ht="12" spans="1:46">
      <c r="A133" s="320"/>
      <c r="B133" s="320"/>
      <c r="C133" s="320"/>
      <c r="D133" s="320"/>
      <c r="E133" s="320"/>
      <c r="F133" s="320"/>
      <c r="G133" s="320"/>
      <c r="H133" s="320"/>
      <c r="I133" s="320"/>
      <c r="J133" s="320"/>
      <c r="K133" s="320"/>
      <c r="L133" s="320"/>
      <c r="M133" s="320"/>
      <c r="N133" s="329"/>
      <c r="O133" s="320"/>
      <c r="P133" s="320"/>
      <c r="Q133" s="320"/>
      <c r="R133" s="320"/>
      <c r="S133" s="320"/>
      <c r="T133" s="320"/>
      <c r="U133" s="320"/>
      <c r="V133" s="320"/>
      <c r="W133" s="320"/>
      <c r="X133" s="320"/>
      <c r="Y133" s="320"/>
      <c r="Z133" s="320"/>
      <c r="AA133" s="320"/>
      <c r="AB133" s="320"/>
      <c r="AC133" s="320"/>
      <c r="AD133" s="320"/>
      <c r="AE133" s="320"/>
      <c r="AF133" s="320"/>
      <c r="AG133" s="320"/>
      <c r="AH133" s="320"/>
      <c r="AI133" s="320"/>
      <c r="AJ133" s="320"/>
      <c r="AK133" s="320"/>
      <c r="AL133" s="320"/>
      <c r="AM133" s="320"/>
      <c r="AN133" s="320"/>
      <c r="AO133" s="320"/>
      <c r="AP133" s="320"/>
      <c r="AQ133" s="320"/>
      <c r="AR133" s="320"/>
      <c r="AS133" s="320"/>
      <c r="AT133" s="320"/>
    </row>
    <row r="134" ht="12" spans="1:46">
      <c r="A134" s="320"/>
      <c r="B134" s="320"/>
      <c r="C134" s="320"/>
      <c r="D134" s="320"/>
      <c r="E134" s="320"/>
      <c r="F134" s="320"/>
      <c r="G134" s="320"/>
      <c r="H134" s="320"/>
      <c r="I134" s="320"/>
      <c r="J134" s="320"/>
      <c r="K134" s="320"/>
      <c r="L134" s="320"/>
      <c r="M134" s="320"/>
      <c r="N134" s="329"/>
      <c r="O134" s="320"/>
      <c r="P134" s="320"/>
      <c r="Q134" s="320"/>
      <c r="R134" s="320"/>
      <c r="S134" s="320"/>
      <c r="T134" s="320"/>
      <c r="U134" s="320"/>
      <c r="V134" s="320"/>
      <c r="W134" s="320"/>
      <c r="X134" s="320"/>
      <c r="Y134" s="320"/>
      <c r="Z134" s="320"/>
      <c r="AA134" s="320"/>
      <c r="AB134" s="320"/>
      <c r="AC134" s="320"/>
      <c r="AD134" s="320"/>
      <c r="AE134" s="320"/>
      <c r="AF134" s="320"/>
      <c r="AG134" s="320"/>
      <c r="AH134" s="320"/>
      <c r="AI134" s="320"/>
      <c r="AJ134" s="320"/>
      <c r="AK134" s="320"/>
      <c r="AL134" s="320"/>
      <c r="AM134" s="320"/>
      <c r="AN134" s="320"/>
      <c r="AO134" s="320"/>
      <c r="AP134" s="320"/>
      <c r="AQ134" s="320"/>
      <c r="AR134" s="320"/>
      <c r="AS134" s="320"/>
      <c r="AT134" s="320"/>
    </row>
    <row r="135" ht="12" spans="1:46">
      <c r="A135" s="320"/>
      <c r="B135" s="320"/>
      <c r="C135" s="320"/>
      <c r="D135" s="320"/>
      <c r="E135" s="320"/>
      <c r="F135" s="320"/>
      <c r="G135" s="320"/>
      <c r="H135" s="320"/>
      <c r="I135" s="320"/>
      <c r="J135" s="320"/>
      <c r="K135" s="320"/>
      <c r="L135" s="320"/>
      <c r="M135" s="320"/>
      <c r="N135" s="329"/>
      <c r="O135" s="320"/>
      <c r="P135" s="320"/>
      <c r="Q135" s="320"/>
      <c r="R135" s="320"/>
      <c r="S135" s="320"/>
      <c r="T135" s="320"/>
      <c r="U135" s="320"/>
      <c r="V135" s="320"/>
      <c r="W135" s="320"/>
      <c r="X135" s="320"/>
      <c r="Y135" s="320"/>
      <c r="Z135" s="320"/>
      <c r="AA135" s="320"/>
      <c r="AB135" s="320"/>
      <c r="AC135" s="320"/>
      <c r="AD135" s="320"/>
      <c r="AE135" s="320"/>
      <c r="AF135" s="320"/>
      <c r="AG135" s="320"/>
      <c r="AH135" s="320"/>
      <c r="AI135" s="320"/>
      <c r="AJ135" s="320"/>
      <c r="AK135" s="320"/>
      <c r="AL135" s="320"/>
      <c r="AM135" s="320"/>
      <c r="AN135" s="320"/>
      <c r="AO135" s="320"/>
      <c r="AP135" s="320"/>
      <c r="AQ135" s="320"/>
      <c r="AR135" s="320"/>
      <c r="AS135" s="320"/>
      <c r="AT135" s="320"/>
    </row>
    <row r="136" ht="12" spans="1:46">
      <c r="A136" s="320"/>
      <c r="B136" s="320"/>
      <c r="C136" s="320"/>
      <c r="D136" s="320"/>
      <c r="E136" s="320"/>
      <c r="F136" s="320"/>
      <c r="G136" s="320"/>
      <c r="H136" s="320"/>
      <c r="I136" s="320"/>
      <c r="J136" s="320"/>
      <c r="K136" s="320"/>
      <c r="L136" s="320"/>
      <c r="M136" s="320"/>
      <c r="N136" s="329"/>
      <c r="O136" s="320"/>
      <c r="P136" s="320"/>
      <c r="Q136" s="320"/>
      <c r="R136" s="320"/>
      <c r="S136" s="320"/>
      <c r="T136" s="320"/>
      <c r="U136" s="320"/>
      <c r="V136" s="320"/>
      <c r="W136" s="320"/>
      <c r="X136" s="320"/>
      <c r="Y136" s="320"/>
      <c r="Z136" s="320"/>
      <c r="AA136" s="320"/>
      <c r="AB136" s="320"/>
      <c r="AC136" s="320"/>
      <c r="AD136" s="320"/>
      <c r="AE136" s="320"/>
      <c r="AF136" s="320"/>
      <c r="AG136" s="320"/>
      <c r="AH136" s="320"/>
      <c r="AI136" s="320"/>
      <c r="AJ136" s="320"/>
      <c r="AK136" s="320"/>
      <c r="AL136" s="320"/>
      <c r="AM136" s="320"/>
      <c r="AN136" s="320"/>
      <c r="AO136" s="320"/>
      <c r="AP136" s="320"/>
      <c r="AQ136" s="320"/>
      <c r="AR136" s="320"/>
      <c r="AS136" s="320"/>
      <c r="AT136" s="320"/>
    </row>
    <row r="137" ht="12" spans="1:46">
      <c r="A137" s="320"/>
      <c r="B137" s="320"/>
      <c r="C137" s="320"/>
      <c r="D137" s="320"/>
      <c r="E137" s="320"/>
      <c r="F137" s="320"/>
      <c r="G137" s="320"/>
      <c r="H137" s="320"/>
      <c r="I137" s="320"/>
      <c r="J137" s="320"/>
      <c r="K137" s="320"/>
      <c r="L137" s="320"/>
      <c r="M137" s="320"/>
      <c r="N137" s="329"/>
      <c r="O137" s="320"/>
      <c r="P137" s="320"/>
      <c r="Q137" s="320"/>
      <c r="R137" s="320"/>
      <c r="S137" s="320"/>
      <c r="T137" s="320"/>
      <c r="U137" s="320"/>
      <c r="V137" s="320"/>
      <c r="W137" s="320"/>
      <c r="X137" s="320"/>
      <c r="Y137" s="320"/>
      <c r="Z137" s="320"/>
      <c r="AA137" s="320"/>
      <c r="AB137" s="320"/>
      <c r="AC137" s="320"/>
      <c r="AD137" s="320"/>
      <c r="AE137" s="320"/>
      <c r="AF137" s="320"/>
      <c r="AG137" s="320"/>
      <c r="AH137" s="320"/>
      <c r="AI137" s="320"/>
      <c r="AJ137" s="320"/>
      <c r="AK137" s="320"/>
      <c r="AL137" s="320"/>
      <c r="AM137" s="320"/>
      <c r="AN137" s="320"/>
      <c r="AO137" s="320"/>
      <c r="AP137" s="320"/>
      <c r="AQ137" s="320"/>
      <c r="AR137" s="320"/>
      <c r="AS137" s="320"/>
      <c r="AT137" s="320"/>
    </row>
    <row r="138" ht="12" spans="1:46">
      <c r="A138" s="320"/>
      <c r="B138" s="320"/>
      <c r="C138" s="320"/>
      <c r="D138" s="320"/>
      <c r="E138" s="320"/>
      <c r="F138" s="320"/>
      <c r="G138" s="320"/>
      <c r="H138" s="320"/>
      <c r="I138" s="320"/>
      <c r="J138" s="320"/>
      <c r="K138" s="320"/>
      <c r="L138" s="320"/>
      <c r="M138" s="320"/>
      <c r="N138" s="329"/>
      <c r="O138" s="320"/>
      <c r="P138" s="320"/>
      <c r="Q138" s="320"/>
      <c r="R138" s="320"/>
      <c r="S138" s="320"/>
      <c r="T138" s="320"/>
      <c r="U138" s="320"/>
      <c r="V138" s="320"/>
      <c r="W138" s="320"/>
      <c r="X138" s="320"/>
      <c r="Y138" s="320"/>
      <c r="Z138" s="320"/>
      <c r="AA138" s="320"/>
      <c r="AB138" s="320"/>
      <c r="AC138" s="320"/>
      <c r="AD138" s="320"/>
      <c r="AE138" s="320"/>
      <c r="AF138" s="320"/>
      <c r="AG138" s="320"/>
      <c r="AH138" s="320"/>
      <c r="AI138" s="320"/>
      <c r="AJ138" s="320"/>
      <c r="AK138" s="320"/>
      <c r="AL138" s="320"/>
      <c r="AM138" s="320"/>
      <c r="AN138" s="320"/>
      <c r="AO138" s="320"/>
      <c r="AP138" s="320"/>
      <c r="AQ138" s="320"/>
      <c r="AR138" s="320"/>
      <c r="AS138" s="320"/>
      <c r="AT138" s="320"/>
    </row>
    <row r="139" ht="12" spans="1:46">
      <c r="A139" s="320"/>
      <c r="B139" s="320"/>
      <c r="C139" s="320"/>
      <c r="D139" s="320"/>
      <c r="E139" s="320"/>
      <c r="F139" s="320"/>
      <c r="G139" s="320"/>
      <c r="H139" s="320"/>
      <c r="I139" s="320"/>
      <c r="J139" s="320"/>
      <c r="K139" s="320"/>
      <c r="L139" s="320"/>
      <c r="M139" s="320"/>
      <c r="N139" s="329"/>
      <c r="O139" s="320"/>
      <c r="P139" s="320"/>
      <c r="Q139" s="320"/>
      <c r="R139" s="320"/>
      <c r="S139" s="320"/>
      <c r="T139" s="320"/>
      <c r="U139" s="320"/>
      <c r="V139" s="320"/>
      <c r="W139" s="320"/>
      <c r="X139" s="320"/>
      <c r="Y139" s="320"/>
      <c r="Z139" s="320"/>
      <c r="AA139" s="320"/>
      <c r="AB139" s="320"/>
      <c r="AC139" s="320"/>
      <c r="AD139" s="320"/>
      <c r="AE139" s="320"/>
      <c r="AF139" s="320"/>
      <c r="AG139" s="320"/>
      <c r="AH139" s="320"/>
      <c r="AI139" s="320"/>
      <c r="AJ139" s="320"/>
      <c r="AK139" s="320"/>
      <c r="AL139" s="320"/>
      <c r="AM139" s="320"/>
      <c r="AN139" s="320"/>
      <c r="AO139" s="320"/>
      <c r="AP139" s="320"/>
      <c r="AQ139" s="320"/>
      <c r="AR139" s="320"/>
      <c r="AS139" s="320"/>
      <c r="AT139" s="320"/>
    </row>
    <row r="140" ht="12" spans="1:46">
      <c r="A140" s="320"/>
      <c r="B140" s="320"/>
      <c r="C140" s="320"/>
      <c r="D140" s="320"/>
      <c r="E140" s="320"/>
      <c r="F140" s="320"/>
      <c r="G140" s="320"/>
      <c r="H140" s="320"/>
      <c r="I140" s="320"/>
      <c r="J140" s="320"/>
      <c r="K140" s="320"/>
      <c r="L140" s="320"/>
      <c r="M140" s="320"/>
      <c r="N140" s="329"/>
      <c r="O140" s="320"/>
      <c r="P140" s="320"/>
      <c r="Q140" s="320"/>
      <c r="R140" s="320"/>
      <c r="S140" s="320"/>
      <c r="T140" s="320"/>
      <c r="U140" s="320"/>
      <c r="V140" s="320"/>
      <c r="W140" s="320"/>
      <c r="X140" s="320"/>
      <c r="Y140" s="320"/>
      <c r="Z140" s="320"/>
      <c r="AA140" s="320"/>
      <c r="AB140" s="320"/>
      <c r="AC140" s="320"/>
      <c r="AD140" s="320"/>
      <c r="AE140" s="320"/>
      <c r="AF140" s="320"/>
      <c r="AG140" s="320"/>
      <c r="AH140" s="320"/>
      <c r="AI140" s="320"/>
      <c r="AJ140" s="320"/>
      <c r="AK140" s="320"/>
      <c r="AL140" s="320"/>
      <c r="AM140" s="320"/>
      <c r="AN140" s="320"/>
      <c r="AO140" s="320"/>
      <c r="AP140" s="320"/>
      <c r="AQ140" s="320"/>
      <c r="AR140" s="320"/>
      <c r="AS140" s="320"/>
      <c r="AT140" s="320"/>
    </row>
    <row r="141" ht="12" spans="1:46">
      <c r="A141" s="320"/>
      <c r="B141" s="320"/>
      <c r="C141" s="320"/>
      <c r="D141" s="320"/>
      <c r="E141" s="320"/>
      <c r="F141" s="320"/>
      <c r="G141" s="320"/>
      <c r="H141" s="320"/>
      <c r="I141" s="320"/>
      <c r="J141" s="320"/>
      <c r="K141" s="320"/>
      <c r="L141" s="320"/>
      <c r="M141" s="320"/>
      <c r="N141" s="329"/>
      <c r="O141" s="320"/>
      <c r="P141" s="320"/>
      <c r="Q141" s="320"/>
      <c r="R141" s="320"/>
      <c r="S141" s="320"/>
      <c r="T141" s="320"/>
      <c r="U141" s="320"/>
      <c r="V141" s="320"/>
      <c r="W141" s="320"/>
      <c r="X141" s="320"/>
      <c r="Y141" s="320"/>
      <c r="Z141" s="320"/>
      <c r="AA141" s="320"/>
      <c r="AB141" s="320"/>
      <c r="AC141" s="320"/>
      <c r="AD141" s="320"/>
      <c r="AE141" s="320"/>
      <c r="AF141" s="320"/>
      <c r="AG141" s="320"/>
      <c r="AH141" s="320"/>
      <c r="AI141" s="320"/>
      <c r="AJ141" s="320"/>
      <c r="AK141" s="320"/>
      <c r="AL141" s="320"/>
      <c r="AM141" s="320"/>
      <c r="AN141" s="320"/>
      <c r="AO141" s="320"/>
      <c r="AP141" s="320"/>
      <c r="AQ141" s="320"/>
      <c r="AR141" s="320"/>
      <c r="AS141" s="320"/>
      <c r="AT141" s="320"/>
    </row>
    <row r="142" ht="12" spans="1:46">
      <c r="A142" s="320"/>
      <c r="B142" s="320"/>
      <c r="C142" s="320"/>
      <c r="D142" s="320"/>
      <c r="E142" s="320"/>
      <c r="F142" s="320"/>
      <c r="G142" s="320"/>
      <c r="H142" s="320"/>
      <c r="I142" s="320"/>
      <c r="J142" s="320"/>
      <c r="K142" s="320"/>
      <c r="L142" s="320"/>
      <c r="M142" s="320"/>
      <c r="N142" s="329"/>
      <c r="O142" s="320"/>
      <c r="P142" s="320"/>
      <c r="Q142" s="320"/>
      <c r="R142" s="320"/>
      <c r="S142" s="320"/>
      <c r="T142" s="320"/>
      <c r="U142" s="320"/>
      <c r="V142" s="320"/>
      <c r="W142" s="320"/>
      <c r="X142" s="320"/>
      <c r="Y142" s="320"/>
      <c r="Z142" s="320"/>
      <c r="AA142" s="320"/>
      <c r="AB142" s="320"/>
      <c r="AC142" s="320"/>
      <c r="AD142" s="320"/>
      <c r="AE142" s="320"/>
      <c r="AF142" s="320"/>
      <c r="AG142" s="320"/>
      <c r="AH142" s="320"/>
      <c r="AI142" s="320"/>
      <c r="AJ142" s="320"/>
      <c r="AK142" s="320"/>
      <c r="AL142" s="320"/>
      <c r="AM142" s="320"/>
      <c r="AN142" s="320"/>
      <c r="AO142" s="320"/>
      <c r="AP142" s="320"/>
      <c r="AQ142" s="320"/>
      <c r="AR142" s="320"/>
      <c r="AS142" s="320"/>
      <c r="AT142" s="320"/>
    </row>
    <row r="143" ht="12" spans="1:46">
      <c r="A143" s="320"/>
      <c r="B143" s="320"/>
      <c r="C143" s="320"/>
      <c r="D143" s="320"/>
      <c r="E143" s="320"/>
      <c r="F143" s="320"/>
      <c r="G143" s="320"/>
      <c r="H143" s="320"/>
      <c r="I143" s="320"/>
      <c r="J143" s="320"/>
      <c r="K143" s="320"/>
      <c r="L143" s="320"/>
      <c r="M143" s="320"/>
      <c r="N143" s="329"/>
      <c r="O143" s="320"/>
      <c r="P143" s="320"/>
      <c r="Q143" s="320"/>
      <c r="R143" s="320"/>
      <c r="S143" s="320"/>
      <c r="T143" s="320"/>
      <c r="U143" s="320"/>
      <c r="V143" s="320"/>
      <c r="W143" s="320"/>
      <c r="X143" s="320"/>
      <c r="Y143" s="320"/>
      <c r="Z143" s="320"/>
      <c r="AA143" s="320"/>
      <c r="AB143" s="320"/>
      <c r="AC143" s="320"/>
      <c r="AD143" s="320"/>
      <c r="AE143" s="320"/>
      <c r="AF143" s="320"/>
      <c r="AG143" s="320"/>
      <c r="AH143" s="320"/>
      <c r="AI143" s="320"/>
      <c r="AJ143" s="320"/>
      <c r="AK143" s="320"/>
      <c r="AL143" s="320"/>
      <c r="AM143" s="320"/>
      <c r="AN143" s="320"/>
      <c r="AO143" s="320"/>
      <c r="AP143" s="320"/>
      <c r="AQ143" s="320"/>
      <c r="AR143" s="320"/>
      <c r="AS143" s="320"/>
      <c r="AT143" s="320"/>
    </row>
    <row r="144" ht="12" spans="1:46">
      <c r="A144" s="320"/>
      <c r="B144" s="320"/>
      <c r="C144" s="320"/>
      <c r="D144" s="320"/>
      <c r="E144" s="320"/>
      <c r="F144" s="320"/>
      <c r="G144" s="320"/>
      <c r="H144" s="320"/>
      <c r="I144" s="320"/>
      <c r="J144" s="320"/>
      <c r="K144" s="320"/>
      <c r="L144" s="320"/>
      <c r="M144" s="320"/>
      <c r="N144" s="329"/>
      <c r="O144" s="320"/>
      <c r="P144" s="320"/>
      <c r="Q144" s="320"/>
      <c r="R144" s="320"/>
      <c r="S144" s="320"/>
      <c r="T144" s="320"/>
      <c r="U144" s="320"/>
      <c r="V144" s="320"/>
      <c r="W144" s="320"/>
      <c r="X144" s="320"/>
      <c r="Y144" s="320"/>
      <c r="Z144" s="320"/>
      <c r="AA144" s="320"/>
      <c r="AB144" s="320"/>
      <c r="AC144" s="320"/>
      <c r="AD144" s="320"/>
      <c r="AE144" s="320"/>
      <c r="AF144" s="320"/>
      <c r="AG144" s="320"/>
      <c r="AH144" s="320"/>
      <c r="AI144" s="320"/>
      <c r="AJ144" s="320"/>
      <c r="AK144" s="320"/>
      <c r="AL144" s="320"/>
      <c r="AM144" s="320"/>
      <c r="AN144" s="320"/>
      <c r="AO144" s="320"/>
      <c r="AP144" s="320"/>
      <c r="AQ144" s="320"/>
      <c r="AR144" s="320"/>
      <c r="AS144" s="320"/>
      <c r="AT144" s="320"/>
    </row>
    <row r="145" ht="12" spans="1:46">
      <c r="A145" s="320"/>
      <c r="B145" s="320"/>
      <c r="C145" s="320"/>
      <c r="D145" s="320"/>
      <c r="E145" s="320"/>
      <c r="F145" s="320"/>
      <c r="G145" s="320"/>
      <c r="H145" s="320"/>
      <c r="I145" s="320"/>
      <c r="J145" s="320"/>
      <c r="K145" s="320"/>
      <c r="L145" s="320"/>
      <c r="M145" s="320"/>
      <c r="N145" s="329"/>
      <c r="O145" s="320"/>
      <c r="P145" s="320"/>
      <c r="Q145" s="320"/>
      <c r="R145" s="320"/>
      <c r="S145" s="320"/>
      <c r="T145" s="320"/>
      <c r="U145" s="320"/>
      <c r="V145" s="320"/>
      <c r="W145" s="320"/>
      <c r="X145" s="320"/>
      <c r="Y145" s="320"/>
      <c r="Z145" s="320"/>
      <c r="AA145" s="320"/>
      <c r="AB145" s="320"/>
      <c r="AC145" s="320"/>
      <c r="AD145" s="320"/>
      <c r="AE145" s="320"/>
      <c r="AF145" s="320"/>
      <c r="AG145" s="320"/>
      <c r="AH145" s="320"/>
      <c r="AI145" s="320"/>
      <c r="AJ145" s="320"/>
      <c r="AK145" s="320"/>
      <c r="AL145" s="320"/>
      <c r="AM145" s="320"/>
      <c r="AN145" s="320"/>
      <c r="AO145" s="320"/>
      <c r="AP145" s="320"/>
      <c r="AQ145" s="320"/>
      <c r="AR145" s="320"/>
      <c r="AS145" s="320"/>
      <c r="AT145" s="320"/>
    </row>
    <row r="146" ht="12" spans="1:46">
      <c r="A146" s="320"/>
      <c r="B146" s="320"/>
      <c r="C146" s="320"/>
      <c r="D146" s="320"/>
      <c r="E146" s="320"/>
      <c r="F146" s="320"/>
      <c r="G146" s="320"/>
      <c r="H146" s="320"/>
      <c r="I146" s="320"/>
      <c r="J146" s="320"/>
      <c r="K146" s="320"/>
      <c r="L146" s="320"/>
      <c r="M146" s="320"/>
      <c r="N146" s="329"/>
      <c r="O146" s="320"/>
      <c r="P146" s="320"/>
      <c r="Q146" s="320"/>
      <c r="R146" s="320"/>
      <c r="S146" s="320"/>
      <c r="T146" s="320"/>
      <c r="U146" s="320"/>
      <c r="V146" s="320"/>
      <c r="W146" s="320"/>
      <c r="X146" s="320"/>
      <c r="Y146" s="320"/>
      <c r="Z146" s="320"/>
      <c r="AA146" s="320"/>
      <c r="AB146" s="320"/>
      <c r="AC146" s="320"/>
      <c r="AD146" s="320"/>
      <c r="AE146" s="320"/>
      <c r="AF146" s="320"/>
      <c r="AG146" s="320"/>
      <c r="AH146" s="320"/>
      <c r="AI146" s="320"/>
      <c r="AJ146" s="320"/>
      <c r="AK146" s="320"/>
      <c r="AL146" s="320"/>
      <c r="AM146" s="320"/>
      <c r="AN146" s="320"/>
      <c r="AO146" s="320"/>
      <c r="AP146" s="320"/>
      <c r="AQ146" s="320"/>
      <c r="AR146" s="320"/>
      <c r="AS146" s="320"/>
      <c r="AT146" s="320"/>
    </row>
    <row r="147" ht="12" spans="1:46">
      <c r="A147" s="320"/>
      <c r="B147" s="320"/>
      <c r="C147" s="320"/>
      <c r="D147" s="320"/>
      <c r="E147" s="320"/>
      <c r="F147" s="320"/>
      <c r="G147" s="320"/>
      <c r="H147" s="320"/>
      <c r="I147" s="320"/>
      <c r="J147" s="320"/>
      <c r="K147" s="320"/>
      <c r="L147" s="320"/>
      <c r="M147" s="320"/>
      <c r="N147" s="329"/>
      <c r="O147" s="320"/>
      <c r="P147" s="320"/>
      <c r="Q147" s="320"/>
      <c r="R147" s="320"/>
      <c r="S147" s="320"/>
      <c r="T147" s="320"/>
      <c r="U147" s="320"/>
      <c r="V147" s="320"/>
      <c r="W147" s="320"/>
      <c r="X147" s="320"/>
      <c r="Y147" s="320"/>
      <c r="Z147" s="320"/>
      <c r="AA147" s="320"/>
      <c r="AB147" s="320"/>
      <c r="AC147" s="320"/>
      <c r="AD147" s="320"/>
      <c r="AE147" s="320"/>
      <c r="AF147" s="320"/>
      <c r="AG147" s="320"/>
      <c r="AH147" s="320"/>
      <c r="AI147" s="320"/>
      <c r="AJ147" s="320"/>
      <c r="AK147" s="320"/>
      <c r="AL147" s="320"/>
      <c r="AM147" s="320"/>
      <c r="AN147" s="320"/>
      <c r="AO147" s="320"/>
      <c r="AP147" s="320"/>
      <c r="AQ147" s="320"/>
      <c r="AR147" s="320"/>
      <c r="AS147" s="320"/>
      <c r="AT147" s="320"/>
    </row>
    <row r="148" ht="12" spans="1:46">
      <c r="A148" s="320"/>
      <c r="B148" s="320"/>
      <c r="C148" s="320"/>
      <c r="D148" s="320"/>
      <c r="E148" s="320"/>
      <c r="F148" s="320"/>
      <c r="G148" s="320"/>
      <c r="H148" s="320"/>
      <c r="I148" s="320"/>
      <c r="J148" s="320"/>
      <c r="K148" s="320"/>
      <c r="L148" s="320"/>
      <c r="M148" s="320"/>
      <c r="N148" s="329"/>
      <c r="O148" s="320"/>
      <c r="P148" s="320"/>
      <c r="Q148" s="320"/>
      <c r="R148" s="320"/>
      <c r="S148" s="320"/>
      <c r="T148" s="320"/>
      <c r="U148" s="320"/>
      <c r="V148" s="320"/>
      <c r="W148" s="320"/>
      <c r="X148" s="320"/>
      <c r="Y148" s="320"/>
      <c r="Z148" s="320"/>
      <c r="AA148" s="320"/>
      <c r="AB148" s="320"/>
      <c r="AC148" s="320"/>
      <c r="AD148" s="320"/>
      <c r="AE148" s="320"/>
      <c r="AF148" s="320"/>
      <c r="AG148" s="320"/>
      <c r="AH148" s="320"/>
      <c r="AI148" s="320"/>
      <c r="AJ148" s="320"/>
      <c r="AK148" s="320"/>
      <c r="AL148" s="320"/>
      <c r="AM148" s="320"/>
      <c r="AN148" s="320"/>
      <c r="AO148" s="320"/>
      <c r="AP148" s="320"/>
      <c r="AQ148" s="320"/>
      <c r="AR148" s="320"/>
      <c r="AS148" s="320"/>
      <c r="AT148" s="320"/>
    </row>
    <row r="149" ht="12" spans="1:46">
      <c r="A149" s="320"/>
      <c r="B149" s="320"/>
      <c r="C149" s="320"/>
      <c r="D149" s="320"/>
      <c r="E149" s="320"/>
      <c r="F149" s="320"/>
      <c r="G149" s="320"/>
      <c r="H149" s="320"/>
      <c r="I149" s="320"/>
      <c r="J149" s="320"/>
      <c r="K149" s="320"/>
      <c r="L149" s="320"/>
      <c r="M149" s="320"/>
      <c r="N149" s="329"/>
      <c r="O149" s="320"/>
      <c r="P149" s="320"/>
      <c r="Q149" s="320"/>
      <c r="R149" s="320"/>
      <c r="S149" s="320"/>
      <c r="T149" s="320"/>
      <c r="U149" s="320"/>
      <c r="V149" s="320"/>
      <c r="W149" s="320"/>
      <c r="X149" s="320"/>
      <c r="Y149" s="320"/>
      <c r="Z149" s="320"/>
      <c r="AA149" s="320"/>
      <c r="AB149" s="320"/>
      <c r="AC149" s="320"/>
      <c r="AD149" s="320"/>
      <c r="AE149" s="320"/>
      <c r="AF149" s="320"/>
      <c r="AG149" s="320"/>
      <c r="AH149" s="320"/>
      <c r="AI149" s="320"/>
      <c r="AJ149" s="320"/>
      <c r="AK149" s="320"/>
      <c r="AL149" s="320"/>
      <c r="AM149" s="320"/>
      <c r="AN149" s="320"/>
      <c r="AO149" s="320"/>
      <c r="AP149" s="320"/>
      <c r="AQ149" s="320"/>
      <c r="AR149" s="320"/>
      <c r="AS149" s="320"/>
      <c r="AT149" s="320"/>
    </row>
    <row r="150" ht="12" spans="1:46">
      <c r="A150" s="320"/>
      <c r="B150" s="320"/>
      <c r="C150" s="320"/>
      <c r="D150" s="320"/>
      <c r="E150" s="320"/>
      <c r="F150" s="320"/>
      <c r="G150" s="320"/>
      <c r="H150" s="320"/>
      <c r="I150" s="320"/>
      <c r="J150" s="320"/>
      <c r="K150" s="320"/>
      <c r="L150" s="320"/>
      <c r="M150" s="320"/>
      <c r="N150" s="329"/>
      <c r="O150" s="320"/>
      <c r="P150" s="320"/>
      <c r="Q150" s="320"/>
      <c r="R150" s="320"/>
      <c r="S150" s="320"/>
      <c r="T150" s="320"/>
      <c r="U150" s="320"/>
      <c r="V150" s="320"/>
      <c r="W150" s="320"/>
      <c r="X150" s="320"/>
      <c r="Y150" s="320"/>
      <c r="Z150" s="320"/>
      <c r="AA150" s="320"/>
      <c r="AB150" s="320"/>
      <c r="AC150" s="320"/>
      <c r="AD150" s="320"/>
      <c r="AE150" s="320"/>
      <c r="AF150" s="320"/>
      <c r="AG150" s="320"/>
      <c r="AH150" s="320"/>
      <c r="AI150" s="320"/>
      <c r="AJ150" s="320"/>
      <c r="AK150" s="320"/>
      <c r="AL150" s="320"/>
      <c r="AM150" s="320"/>
      <c r="AN150" s="320"/>
      <c r="AO150" s="320"/>
      <c r="AP150" s="320"/>
      <c r="AQ150" s="320"/>
      <c r="AR150" s="320"/>
      <c r="AS150" s="320"/>
      <c r="AT150" s="320"/>
    </row>
    <row r="151" ht="12" spans="1:46">
      <c r="A151" s="320"/>
      <c r="B151" s="320"/>
      <c r="C151" s="320"/>
      <c r="D151" s="320"/>
      <c r="E151" s="320"/>
      <c r="F151" s="320"/>
      <c r="G151" s="320"/>
      <c r="H151" s="320"/>
      <c r="I151" s="320"/>
      <c r="J151" s="320"/>
      <c r="K151" s="320"/>
      <c r="L151" s="320"/>
      <c r="M151" s="320"/>
      <c r="N151" s="329"/>
      <c r="O151" s="320"/>
      <c r="P151" s="320"/>
      <c r="Q151" s="320"/>
      <c r="R151" s="320"/>
      <c r="S151" s="320"/>
      <c r="T151" s="320"/>
      <c r="U151" s="320"/>
      <c r="V151" s="320"/>
      <c r="W151" s="320"/>
      <c r="X151" s="320"/>
      <c r="Y151" s="320"/>
      <c r="Z151" s="320"/>
      <c r="AA151" s="320"/>
      <c r="AB151" s="320"/>
      <c r="AC151" s="320"/>
      <c r="AD151" s="320"/>
      <c r="AE151" s="320"/>
      <c r="AF151" s="320"/>
      <c r="AG151" s="320"/>
      <c r="AH151" s="320"/>
      <c r="AI151" s="320"/>
      <c r="AJ151" s="320"/>
      <c r="AK151" s="320"/>
      <c r="AL151" s="320"/>
      <c r="AM151" s="320"/>
      <c r="AN151" s="320"/>
      <c r="AO151" s="320"/>
      <c r="AP151" s="320"/>
      <c r="AQ151" s="320"/>
      <c r="AR151" s="320"/>
      <c r="AS151" s="320"/>
      <c r="AT151" s="320"/>
    </row>
    <row r="152" ht="12" spans="1:46">
      <c r="A152" s="320"/>
      <c r="B152" s="320"/>
      <c r="C152" s="320"/>
      <c r="D152" s="320"/>
      <c r="E152" s="320"/>
      <c r="F152" s="320"/>
      <c r="G152" s="320"/>
      <c r="H152" s="320"/>
      <c r="I152" s="320"/>
      <c r="J152" s="320"/>
      <c r="K152" s="320"/>
      <c r="L152" s="320"/>
      <c r="M152" s="320"/>
      <c r="N152" s="329"/>
      <c r="O152" s="320"/>
      <c r="P152" s="320"/>
      <c r="Q152" s="320"/>
      <c r="R152" s="320"/>
      <c r="S152" s="320"/>
      <c r="T152" s="320"/>
      <c r="U152" s="320"/>
      <c r="V152" s="320"/>
      <c r="W152" s="320"/>
      <c r="X152" s="320"/>
      <c r="Y152" s="320"/>
      <c r="Z152" s="320"/>
      <c r="AA152" s="320"/>
      <c r="AB152" s="320"/>
      <c r="AC152" s="320"/>
      <c r="AD152" s="320"/>
      <c r="AE152" s="320"/>
      <c r="AF152" s="320"/>
      <c r="AG152" s="320"/>
      <c r="AH152" s="320"/>
      <c r="AI152" s="320"/>
      <c r="AJ152" s="320"/>
      <c r="AK152" s="320"/>
      <c r="AL152" s="320"/>
      <c r="AM152" s="320"/>
      <c r="AN152" s="320"/>
      <c r="AO152" s="320"/>
      <c r="AP152" s="320"/>
      <c r="AQ152" s="320"/>
      <c r="AR152" s="320"/>
      <c r="AS152" s="320"/>
      <c r="AT152" s="320"/>
    </row>
    <row r="153" ht="12" spans="1:46">
      <c r="A153" s="320"/>
      <c r="B153" s="320"/>
      <c r="C153" s="320"/>
      <c r="D153" s="320"/>
      <c r="E153" s="320"/>
      <c r="F153" s="320"/>
      <c r="G153" s="320"/>
      <c r="H153" s="320"/>
      <c r="I153" s="320"/>
      <c r="J153" s="320"/>
      <c r="K153" s="320"/>
      <c r="L153" s="320"/>
      <c r="M153" s="320"/>
      <c r="N153" s="329"/>
      <c r="O153" s="320"/>
      <c r="P153" s="320"/>
      <c r="Q153" s="320"/>
      <c r="R153" s="320"/>
      <c r="S153" s="320"/>
      <c r="T153" s="320"/>
      <c r="U153" s="320"/>
      <c r="V153" s="320"/>
      <c r="W153" s="320"/>
      <c r="X153" s="320"/>
      <c r="Y153" s="320"/>
      <c r="Z153" s="320"/>
      <c r="AA153" s="320"/>
      <c r="AB153" s="320"/>
      <c r="AC153" s="320"/>
      <c r="AD153" s="320"/>
      <c r="AE153" s="320"/>
      <c r="AF153" s="320"/>
      <c r="AG153" s="320"/>
      <c r="AH153" s="320"/>
      <c r="AI153" s="320"/>
      <c r="AJ153" s="320"/>
      <c r="AK153" s="320"/>
      <c r="AL153" s="320"/>
      <c r="AM153" s="320"/>
      <c r="AN153" s="320"/>
      <c r="AO153" s="320"/>
      <c r="AP153" s="320"/>
      <c r="AQ153" s="320"/>
      <c r="AR153" s="320"/>
      <c r="AS153" s="320"/>
      <c r="AT153" s="320"/>
    </row>
    <row r="154" ht="12" spans="1:46">
      <c r="A154" s="320"/>
      <c r="B154" s="320"/>
      <c r="C154" s="320"/>
      <c r="D154" s="320"/>
      <c r="E154" s="320"/>
      <c r="F154" s="320"/>
      <c r="G154" s="320"/>
      <c r="H154" s="320"/>
      <c r="I154" s="320"/>
      <c r="J154" s="320"/>
      <c r="K154" s="320"/>
      <c r="L154" s="320"/>
      <c r="M154" s="320"/>
      <c r="N154" s="329"/>
      <c r="O154" s="320"/>
      <c r="P154" s="320"/>
      <c r="Q154" s="320"/>
      <c r="R154" s="320"/>
      <c r="S154" s="320"/>
      <c r="T154" s="320"/>
      <c r="U154" s="320"/>
      <c r="V154" s="320"/>
      <c r="W154" s="320"/>
      <c r="X154" s="320"/>
      <c r="Y154" s="320"/>
      <c r="Z154" s="320"/>
      <c r="AA154" s="320"/>
      <c r="AB154" s="320"/>
      <c r="AC154" s="320"/>
      <c r="AD154" s="320"/>
      <c r="AE154" s="320"/>
      <c r="AF154" s="320"/>
      <c r="AG154" s="320"/>
      <c r="AH154" s="320"/>
      <c r="AI154" s="320"/>
      <c r="AJ154" s="320"/>
      <c r="AK154" s="320"/>
      <c r="AL154" s="320"/>
      <c r="AM154" s="320"/>
      <c r="AN154" s="320"/>
      <c r="AO154" s="320"/>
      <c r="AP154" s="320"/>
      <c r="AQ154" s="320"/>
      <c r="AR154" s="320"/>
      <c r="AS154" s="320"/>
      <c r="AT154" s="320"/>
    </row>
    <row r="155" ht="12" spans="1:46">
      <c r="A155" s="320"/>
      <c r="B155" s="320"/>
      <c r="C155" s="320"/>
      <c r="D155" s="320"/>
      <c r="E155" s="320"/>
      <c r="F155" s="320"/>
      <c r="G155" s="320"/>
      <c r="H155" s="320"/>
      <c r="I155" s="320"/>
      <c r="J155" s="320"/>
      <c r="K155" s="320"/>
      <c r="L155" s="320"/>
      <c r="M155" s="320"/>
      <c r="N155" s="329"/>
      <c r="O155" s="320"/>
      <c r="P155" s="320"/>
      <c r="Q155" s="320"/>
      <c r="R155" s="320"/>
      <c r="S155" s="320"/>
      <c r="T155" s="320"/>
      <c r="U155" s="320"/>
      <c r="V155" s="320"/>
      <c r="W155" s="320"/>
      <c r="X155" s="320"/>
      <c r="Y155" s="320"/>
      <c r="Z155" s="320"/>
      <c r="AA155" s="320"/>
      <c r="AB155" s="320"/>
      <c r="AC155" s="320"/>
      <c r="AD155" s="320"/>
      <c r="AE155" s="320"/>
      <c r="AF155" s="320"/>
      <c r="AG155" s="320"/>
      <c r="AH155" s="320"/>
      <c r="AI155" s="320"/>
      <c r="AJ155" s="320"/>
      <c r="AK155" s="320"/>
      <c r="AL155" s="320"/>
      <c r="AM155" s="320"/>
      <c r="AN155" s="320"/>
      <c r="AO155" s="320"/>
      <c r="AP155" s="320"/>
      <c r="AQ155" s="320"/>
      <c r="AR155" s="320"/>
      <c r="AS155" s="320"/>
      <c r="AT155" s="320"/>
    </row>
    <row r="156" ht="12" spans="1:46">
      <c r="A156" s="320"/>
      <c r="B156" s="320"/>
      <c r="C156" s="320"/>
      <c r="D156" s="320"/>
      <c r="E156" s="320"/>
      <c r="F156" s="320"/>
      <c r="G156" s="320"/>
      <c r="H156" s="320"/>
      <c r="I156" s="320"/>
      <c r="J156" s="320"/>
      <c r="K156" s="320"/>
      <c r="L156" s="320"/>
      <c r="M156" s="320"/>
      <c r="N156" s="329"/>
      <c r="O156" s="320"/>
      <c r="P156" s="320"/>
      <c r="Q156" s="320"/>
      <c r="R156" s="320"/>
      <c r="S156" s="320"/>
      <c r="T156" s="320"/>
      <c r="U156" s="320"/>
      <c r="V156" s="320"/>
      <c r="W156" s="320"/>
      <c r="X156" s="320"/>
      <c r="Y156" s="320"/>
      <c r="Z156" s="320"/>
      <c r="AA156" s="320"/>
      <c r="AB156" s="320"/>
      <c r="AC156" s="320"/>
      <c r="AD156" s="320"/>
      <c r="AE156" s="320"/>
      <c r="AF156" s="320"/>
      <c r="AG156" s="320"/>
      <c r="AH156" s="320"/>
      <c r="AI156" s="320"/>
      <c r="AJ156" s="320"/>
      <c r="AK156" s="320"/>
      <c r="AL156" s="320"/>
      <c r="AM156" s="320"/>
      <c r="AN156" s="320"/>
      <c r="AO156" s="320"/>
      <c r="AP156" s="320"/>
      <c r="AQ156" s="320"/>
      <c r="AR156" s="320"/>
      <c r="AS156" s="320"/>
      <c r="AT156" s="320"/>
    </row>
    <row r="157" ht="12" spans="1:46">
      <c r="A157" s="320"/>
      <c r="B157" s="320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9"/>
      <c r="O157" s="320"/>
      <c r="P157" s="320"/>
      <c r="Q157" s="320"/>
      <c r="R157" s="320"/>
      <c r="S157" s="320"/>
      <c r="T157" s="320"/>
      <c r="U157" s="320"/>
      <c r="V157" s="320"/>
      <c r="W157" s="320"/>
      <c r="X157" s="320"/>
      <c r="Y157" s="320"/>
      <c r="Z157" s="320"/>
      <c r="AA157" s="320"/>
      <c r="AB157" s="320"/>
      <c r="AC157" s="320"/>
      <c r="AD157" s="320"/>
      <c r="AE157" s="320"/>
      <c r="AF157" s="320"/>
      <c r="AG157" s="320"/>
      <c r="AH157" s="320"/>
      <c r="AI157" s="320"/>
      <c r="AJ157" s="320"/>
      <c r="AK157" s="320"/>
      <c r="AL157" s="320"/>
      <c r="AM157" s="320"/>
      <c r="AN157" s="320"/>
      <c r="AO157" s="320"/>
      <c r="AP157" s="320"/>
      <c r="AQ157" s="320"/>
      <c r="AR157" s="320"/>
      <c r="AS157" s="320"/>
      <c r="AT157" s="320"/>
    </row>
    <row r="158" ht="12" spans="1:46">
      <c r="A158" s="320"/>
      <c r="B158" s="320"/>
      <c r="C158" s="320"/>
      <c r="D158" s="320"/>
      <c r="E158" s="320"/>
      <c r="F158" s="320"/>
      <c r="G158" s="320"/>
      <c r="H158" s="320"/>
      <c r="I158" s="320"/>
      <c r="J158" s="320"/>
      <c r="K158" s="320"/>
      <c r="L158" s="320"/>
      <c r="M158" s="320"/>
      <c r="N158" s="329"/>
      <c r="O158" s="320"/>
      <c r="P158" s="320"/>
      <c r="Q158" s="320"/>
      <c r="R158" s="320"/>
      <c r="S158" s="320"/>
      <c r="T158" s="320"/>
      <c r="U158" s="320"/>
      <c r="V158" s="320"/>
      <c r="W158" s="320"/>
      <c r="X158" s="320"/>
      <c r="Y158" s="320"/>
      <c r="Z158" s="320"/>
      <c r="AA158" s="320"/>
      <c r="AB158" s="320"/>
      <c r="AC158" s="320"/>
      <c r="AD158" s="320"/>
      <c r="AE158" s="320"/>
      <c r="AF158" s="320"/>
      <c r="AG158" s="320"/>
      <c r="AH158" s="320"/>
      <c r="AI158" s="320"/>
      <c r="AJ158" s="320"/>
      <c r="AK158" s="320"/>
      <c r="AL158" s="320"/>
      <c r="AM158" s="320"/>
      <c r="AN158" s="320"/>
      <c r="AO158" s="320"/>
      <c r="AP158" s="320"/>
      <c r="AQ158" s="320"/>
      <c r="AR158" s="320"/>
      <c r="AS158" s="320"/>
      <c r="AT158" s="320"/>
    </row>
    <row r="159" ht="12" spans="1:46">
      <c r="A159" s="320"/>
      <c r="B159" s="320"/>
      <c r="C159" s="320"/>
      <c r="D159" s="320"/>
      <c r="E159" s="320"/>
      <c r="F159" s="320"/>
      <c r="G159" s="320"/>
      <c r="H159" s="320"/>
      <c r="I159" s="320"/>
      <c r="J159" s="320"/>
      <c r="K159" s="320"/>
      <c r="L159" s="320"/>
      <c r="M159" s="320"/>
      <c r="N159" s="329"/>
      <c r="O159" s="320"/>
      <c r="P159" s="320"/>
      <c r="Q159" s="320"/>
      <c r="R159" s="320"/>
      <c r="S159" s="320"/>
      <c r="T159" s="320"/>
      <c r="U159" s="320"/>
      <c r="V159" s="320"/>
      <c r="W159" s="320"/>
      <c r="X159" s="320"/>
      <c r="Y159" s="320"/>
      <c r="Z159" s="320"/>
      <c r="AA159" s="320"/>
      <c r="AB159" s="320"/>
      <c r="AC159" s="320"/>
      <c r="AD159" s="320"/>
      <c r="AE159" s="320"/>
      <c r="AF159" s="320"/>
      <c r="AG159" s="320"/>
      <c r="AH159" s="320"/>
      <c r="AI159" s="320"/>
      <c r="AJ159" s="320"/>
      <c r="AK159" s="320"/>
      <c r="AL159" s="320"/>
      <c r="AM159" s="320"/>
      <c r="AN159" s="320"/>
      <c r="AO159" s="320"/>
      <c r="AP159" s="320"/>
      <c r="AQ159" s="320"/>
      <c r="AR159" s="320"/>
      <c r="AS159" s="320"/>
      <c r="AT159" s="320"/>
    </row>
    <row r="160" ht="12" spans="1:46">
      <c r="A160" s="320"/>
      <c r="B160" s="320"/>
      <c r="C160" s="320"/>
      <c r="D160" s="320"/>
      <c r="E160" s="320"/>
      <c r="F160" s="320"/>
      <c r="G160" s="320"/>
      <c r="H160" s="320"/>
      <c r="I160" s="320"/>
      <c r="J160" s="320"/>
      <c r="K160" s="320"/>
      <c r="L160" s="320"/>
      <c r="M160" s="320"/>
      <c r="N160" s="329"/>
      <c r="O160" s="320"/>
      <c r="P160" s="320"/>
      <c r="Q160" s="320"/>
      <c r="R160" s="320"/>
      <c r="S160" s="320"/>
      <c r="T160" s="320"/>
      <c r="U160" s="320"/>
      <c r="V160" s="320"/>
      <c r="W160" s="320"/>
      <c r="X160" s="320"/>
      <c r="Y160" s="320"/>
      <c r="Z160" s="320"/>
      <c r="AA160" s="320"/>
      <c r="AB160" s="320"/>
      <c r="AC160" s="320"/>
      <c r="AD160" s="320"/>
      <c r="AE160" s="320"/>
      <c r="AF160" s="320"/>
      <c r="AG160" s="320"/>
      <c r="AH160" s="320"/>
      <c r="AI160" s="320"/>
      <c r="AJ160" s="320"/>
      <c r="AK160" s="320"/>
      <c r="AL160" s="320"/>
      <c r="AM160" s="320"/>
      <c r="AN160" s="320"/>
      <c r="AO160" s="320"/>
      <c r="AP160" s="320"/>
      <c r="AQ160" s="320"/>
      <c r="AR160" s="320"/>
      <c r="AS160" s="320"/>
      <c r="AT160" s="320"/>
    </row>
    <row r="161" ht="12" spans="1:46">
      <c r="A161" s="320"/>
      <c r="B161" s="320"/>
      <c r="C161" s="320"/>
      <c r="D161" s="320"/>
      <c r="E161" s="320"/>
      <c r="F161" s="320"/>
      <c r="G161" s="320"/>
      <c r="H161" s="320"/>
      <c r="I161" s="320"/>
      <c r="J161" s="320"/>
      <c r="K161" s="320"/>
      <c r="L161" s="320"/>
      <c r="M161" s="320"/>
      <c r="N161" s="329"/>
      <c r="O161" s="320"/>
      <c r="P161" s="320"/>
      <c r="Q161" s="320"/>
      <c r="R161" s="320"/>
      <c r="S161" s="320"/>
      <c r="T161" s="320"/>
      <c r="U161" s="320"/>
      <c r="V161" s="320"/>
      <c r="W161" s="320"/>
      <c r="X161" s="320"/>
      <c r="Y161" s="320"/>
      <c r="Z161" s="320"/>
      <c r="AA161" s="320"/>
      <c r="AB161" s="320"/>
      <c r="AC161" s="320"/>
      <c r="AD161" s="320"/>
      <c r="AE161" s="320"/>
      <c r="AF161" s="320"/>
      <c r="AG161" s="320"/>
      <c r="AH161" s="320"/>
      <c r="AI161" s="320"/>
      <c r="AJ161" s="320"/>
      <c r="AK161" s="320"/>
      <c r="AL161" s="320"/>
      <c r="AM161" s="320"/>
      <c r="AN161" s="320"/>
      <c r="AO161" s="320"/>
      <c r="AP161" s="320"/>
      <c r="AQ161" s="320"/>
      <c r="AR161" s="320"/>
      <c r="AS161" s="320"/>
      <c r="AT161" s="320"/>
    </row>
    <row r="162" ht="12" spans="1:46">
      <c r="A162" s="320"/>
      <c r="B162" s="320"/>
      <c r="C162" s="320"/>
      <c r="D162" s="320"/>
      <c r="E162" s="320"/>
      <c r="F162" s="320"/>
      <c r="G162" s="320"/>
      <c r="H162" s="320"/>
      <c r="I162" s="320"/>
      <c r="J162" s="320"/>
      <c r="K162" s="320"/>
      <c r="L162" s="320"/>
      <c r="M162" s="320"/>
      <c r="N162" s="329"/>
      <c r="O162" s="320"/>
      <c r="P162" s="320"/>
      <c r="Q162" s="320"/>
      <c r="R162" s="320"/>
      <c r="S162" s="320"/>
      <c r="T162" s="320"/>
      <c r="U162" s="320"/>
      <c r="V162" s="320"/>
      <c r="W162" s="320"/>
      <c r="X162" s="320"/>
      <c r="Y162" s="320"/>
      <c r="Z162" s="320"/>
      <c r="AA162" s="320"/>
      <c r="AB162" s="320"/>
      <c r="AC162" s="320"/>
      <c r="AD162" s="320"/>
      <c r="AE162" s="320"/>
      <c r="AF162" s="320"/>
      <c r="AG162" s="320"/>
      <c r="AH162" s="320"/>
      <c r="AI162" s="320"/>
      <c r="AJ162" s="320"/>
      <c r="AK162" s="320"/>
      <c r="AL162" s="320"/>
      <c r="AM162" s="320"/>
      <c r="AN162" s="320"/>
      <c r="AO162" s="320"/>
      <c r="AP162" s="320"/>
      <c r="AQ162" s="320"/>
      <c r="AR162" s="320"/>
      <c r="AS162" s="320"/>
      <c r="AT162" s="320"/>
    </row>
    <row r="163" ht="12" spans="1:46">
      <c r="A163" s="320"/>
      <c r="B163" s="320"/>
      <c r="C163" s="320"/>
      <c r="D163" s="320"/>
      <c r="E163" s="320"/>
      <c r="F163" s="320"/>
      <c r="G163" s="320"/>
      <c r="H163" s="320"/>
      <c r="I163" s="320"/>
      <c r="J163" s="320"/>
      <c r="K163" s="320"/>
      <c r="L163" s="320"/>
      <c r="M163" s="320"/>
      <c r="N163" s="329"/>
      <c r="O163" s="320"/>
      <c r="P163" s="320"/>
      <c r="Q163" s="320"/>
      <c r="R163" s="320"/>
      <c r="S163" s="320"/>
      <c r="T163" s="320"/>
      <c r="U163" s="320"/>
      <c r="V163" s="320"/>
      <c r="W163" s="320"/>
      <c r="X163" s="320"/>
      <c r="Y163" s="320"/>
      <c r="Z163" s="320"/>
      <c r="AA163" s="320"/>
      <c r="AB163" s="320"/>
      <c r="AC163" s="320"/>
      <c r="AD163" s="320"/>
      <c r="AE163" s="320"/>
      <c r="AF163" s="320"/>
      <c r="AG163" s="320"/>
      <c r="AH163" s="320"/>
      <c r="AI163" s="320"/>
      <c r="AJ163" s="320"/>
      <c r="AK163" s="320"/>
      <c r="AL163" s="320"/>
      <c r="AM163" s="320"/>
      <c r="AN163" s="320"/>
      <c r="AO163" s="320"/>
      <c r="AP163" s="320"/>
      <c r="AQ163" s="320"/>
      <c r="AR163" s="320"/>
      <c r="AS163" s="320"/>
      <c r="AT163" s="320"/>
    </row>
    <row r="164" ht="12" spans="1:46">
      <c r="A164" s="320"/>
      <c r="B164" s="320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9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320"/>
      <c r="AB164" s="320"/>
      <c r="AC164" s="320"/>
      <c r="AD164" s="320"/>
      <c r="AE164" s="320"/>
      <c r="AF164" s="320"/>
      <c r="AG164" s="320"/>
      <c r="AH164" s="320"/>
      <c r="AI164" s="320"/>
      <c r="AJ164" s="320"/>
      <c r="AK164" s="320"/>
      <c r="AL164" s="320"/>
      <c r="AM164" s="320"/>
      <c r="AN164" s="320"/>
      <c r="AO164" s="320"/>
      <c r="AP164" s="320"/>
      <c r="AQ164" s="320"/>
      <c r="AR164" s="320"/>
      <c r="AS164" s="320"/>
      <c r="AT164" s="320"/>
    </row>
    <row r="165" ht="12" spans="1:46">
      <c r="A165" s="320"/>
      <c r="B165" s="320"/>
      <c r="C165" s="320"/>
      <c r="D165" s="320"/>
      <c r="E165" s="320"/>
      <c r="F165" s="320"/>
      <c r="G165" s="320"/>
      <c r="H165" s="320"/>
      <c r="I165" s="320"/>
      <c r="J165" s="320"/>
      <c r="K165" s="320"/>
      <c r="L165" s="320"/>
      <c r="M165" s="320"/>
      <c r="N165" s="329"/>
      <c r="O165" s="320"/>
      <c r="P165" s="320"/>
      <c r="Q165" s="320"/>
      <c r="R165" s="320"/>
      <c r="S165" s="320"/>
      <c r="T165" s="320"/>
      <c r="U165" s="320"/>
      <c r="V165" s="320"/>
      <c r="W165" s="320"/>
      <c r="X165" s="320"/>
      <c r="Y165" s="320"/>
      <c r="Z165" s="320"/>
      <c r="AA165" s="320"/>
      <c r="AB165" s="320"/>
      <c r="AC165" s="320"/>
      <c r="AD165" s="320"/>
      <c r="AE165" s="320"/>
      <c r="AF165" s="320"/>
      <c r="AG165" s="320"/>
      <c r="AH165" s="320"/>
      <c r="AI165" s="320"/>
      <c r="AJ165" s="320"/>
      <c r="AK165" s="320"/>
      <c r="AL165" s="320"/>
      <c r="AM165" s="320"/>
      <c r="AN165" s="320"/>
      <c r="AO165" s="320"/>
      <c r="AP165" s="320"/>
      <c r="AQ165" s="320"/>
      <c r="AR165" s="320"/>
      <c r="AS165" s="320"/>
      <c r="AT165" s="320"/>
    </row>
    <row r="166" ht="12" spans="1:46">
      <c r="A166" s="320"/>
      <c r="B166" s="320"/>
      <c r="C166" s="320"/>
      <c r="D166" s="320"/>
      <c r="E166" s="320"/>
      <c r="F166" s="320"/>
      <c r="G166" s="320"/>
      <c r="H166" s="320"/>
      <c r="I166" s="320"/>
      <c r="J166" s="320"/>
      <c r="K166" s="320"/>
      <c r="L166" s="320"/>
      <c r="M166" s="320"/>
      <c r="N166" s="329"/>
      <c r="O166" s="320"/>
      <c r="P166" s="320"/>
      <c r="Q166" s="320"/>
      <c r="R166" s="320"/>
      <c r="S166" s="320"/>
      <c r="T166" s="320"/>
      <c r="U166" s="320"/>
      <c r="V166" s="320"/>
      <c r="W166" s="320"/>
      <c r="X166" s="320"/>
      <c r="Y166" s="320"/>
      <c r="Z166" s="320"/>
      <c r="AA166" s="320"/>
      <c r="AB166" s="320"/>
      <c r="AC166" s="320"/>
      <c r="AD166" s="320"/>
      <c r="AE166" s="320"/>
      <c r="AF166" s="320"/>
      <c r="AG166" s="320"/>
      <c r="AH166" s="320"/>
      <c r="AI166" s="320"/>
      <c r="AJ166" s="320"/>
      <c r="AK166" s="320"/>
      <c r="AL166" s="320"/>
      <c r="AM166" s="320"/>
      <c r="AN166" s="320"/>
      <c r="AO166" s="320"/>
      <c r="AP166" s="320"/>
      <c r="AQ166" s="320"/>
      <c r="AR166" s="320"/>
      <c r="AS166" s="320"/>
      <c r="AT166" s="320"/>
    </row>
    <row r="167" ht="12" spans="1:46">
      <c r="A167" s="320"/>
      <c r="B167" s="320"/>
      <c r="C167" s="320"/>
      <c r="D167" s="320"/>
      <c r="E167" s="320"/>
      <c r="F167" s="320"/>
      <c r="G167" s="320"/>
      <c r="H167" s="320"/>
      <c r="I167" s="320"/>
      <c r="J167" s="320"/>
      <c r="K167" s="320"/>
      <c r="L167" s="320"/>
      <c r="M167" s="320"/>
      <c r="N167" s="329"/>
      <c r="O167" s="320"/>
      <c r="P167" s="320"/>
      <c r="Q167" s="320"/>
      <c r="R167" s="320"/>
      <c r="S167" s="320"/>
      <c r="T167" s="320"/>
      <c r="U167" s="320"/>
      <c r="V167" s="320"/>
      <c r="W167" s="320"/>
      <c r="X167" s="320"/>
      <c r="Y167" s="320"/>
      <c r="Z167" s="320"/>
      <c r="AA167" s="320"/>
      <c r="AB167" s="320"/>
      <c r="AC167" s="320"/>
      <c r="AD167" s="320"/>
      <c r="AE167" s="320"/>
      <c r="AF167" s="320"/>
      <c r="AG167" s="320"/>
      <c r="AH167" s="320"/>
      <c r="AI167" s="320"/>
      <c r="AJ167" s="320"/>
      <c r="AK167" s="320"/>
      <c r="AL167" s="320"/>
      <c r="AM167" s="320"/>
      <c r="AN167" s="320"/>
      <c r="AO167" s="320"/>
      <c r="AP167" s="320"/>
      <c r="AQ167" s="320"/>
      <c r="AR167" s="320"/>
      <c r="AS167" s="320"/>
      <c r="AT167" s="320"/>
    </row>
    <row r="168" ht="12" spans="1:46">
      <c r="A168" s="320"/>
      <c r="B168" s="320"/>
      <c r="C168" s="320"/>
      <c r="D168" s="320"/>
      <c r="E168" s="320"/>
      <c r="F168" s="320"/>
      <c r="G168" s="320"/>
      <c r="H168" s="320"/>
      <c r="I168" s="320"/>
      <c r="J168" s="320"/>
      <c r="K168" s="320"/>
      <c r="L168" s="320"/>
      <c r="M168" s="320"/>
      <c r="N168" s="329"/>
      <c r="O168" s="320"/>
      <c r="P168" s="320"/>
      <c r="Q168" s="320"/>
      <c r="R168" s="320"/>
      <c r="S168" s="320"/>
      <c r="T168" s="320"/>
      <c r="U168" s="320"/>
      <c r="V168" s="320"/>
      <c r="W168" s="320"/>
      <c r="X168" s="320"/>
      <c r="Y168" s="320"/>
      <c r="Z168" s="320"/>
      <c r="AA168" s="320"/>
      <c r="AB168" s="320"/>
      <c r="AC168" s="320"/>
      <c r="AD168" s="320"/>
      <c r="AE168" s="320"/>
      <c r="AF168" s="320"/>
      <c r="AG168" s="320"/>
      <c r="AH168" s="320"/>
      <c r="AI168" s="320"/>
      <c r="AJ168" s="320"/>
      <c r="AK168" s="320"/>
      <c r="AL168" s="320"/>
      <c r="AM168" s="320"/>
      <c r="AN168" s="320"/>
      <c r="AO168" s="320"/>
      <c r="AP168" s="320"/>
      <c r="AQ168" s="320"/>
      <c r="AR168" s="320"/>
      <c r="AS168" s="320"/>
      <c r="AT168" s="320"/>
    </row>
    <row r="169" ht="12" spans="1:46">
      <c r="A169" s="320"/>
      <c r="B169" s="320"/>
      <c r="C169" s="320"/>
      <c r="D169" s="320"/>
      <c r="E169" s="320"/>
      <c r="F169" s="320"/>
      <c r="G169" s="320"/>
      <c r="H169" s="320"/>
      <c r="I169" s="320"/>
      <c r="J169" s="320"/>
      <c r="K169" s="320"/>
      <c r="L169" s="320"/>
      <c r="M169" s="320"/>
      <c r="N169" s="329"/>
      <c r="O169" s="320"/>
      <c r="P169" s="320"/>
      <c r="Q169" s="320"/>
      <c r="R169" s="320"/>
      <c r="S169" s="320"/>
      <c r="T169" s="320"/>
      <c r="U169" s="320"/>
      <c r="V169" s="320"/>
      <c r="W169" s="320"/>
      <c r="X169" s="320"/>
      <c r="Y169" s="320"/>
      <c r="Z169" s="320"/>
      <c r="AA169" s="320"/>
      <c r="AB169" s="320"/>
      <c r="AC169" s="320"/>
      <c r="AD169" s="320"/>
      <c r="AE169" s="320"/>
      <c r="AF169" s="320"/>
      <c r="AG169" s="320"/>
      <c r="AH169" s="320"/>
      <c r="AI169" s="320"/>
      <c r="AJ169" s="320"/>
      <c r="AK169" s="320"/>
      <c r="AL169" s="320"/>
      <c r="AM169" s="320"/>
      <c r="AN169" s="320"/>
      <c r="AO169" s="320"/>
      <c r="AP169" s="320"/>
      <c r="AQ169" s="320"/>
      <c r="AR169" s="320"/>
      <c r="AS169" s="320"/>
      <c r="AT169" s="320"/>
    </row>
    <row r="170" ht="12" spans="1:46">
      <c r="A170" s="320"/>
      <c r="B170" s="320"/>
      <c r="C170" s="320"/>
      <c r="D170" s="320"/>
      <c r="E170" s="320"/>
      <c r="F170" s="320"/>
      <c r="G170" s="320"/>
      <c r="H170" s="320"/>
      <c r="I170" s="320"/>
      <c r="J170" s="320"/>
      <c r="K170" s="320"/>
      <c r="L170" s="320"/>
      <c r="M170" s="320"/>
      <c r="N170" s="329"/>
      <c r="O170" s="320"/>
      <c r="P170" s="320"/>
      <c r="Q170" s="320"/>
      <c r="R170" s="320"/>
      <c r="S170" s="320"/>
      <c r="T170" s="320"/>
      <c r="U170" s="320"/>
      <c r="V170" s="320"/>
      <c r="W170" s="320"/>
      <c r="X170" s="320"/>
      <c r="Y170" s="320"/>
      <c r="Z170" s="320"/>
      <c r="AA170" s="320"/>
      <c r="AB170" s="320"/>
      <c r="AC170" s="320"/>
      <c r="AD170" s="320"/>
      <c r="AE170" s="320"/>
      <c r="AF170" s="320"/>
      <c r="AG170" s="320"/>
      <c r="AH170" s="320"/>
      <c r="AI170" s="320"/>
      <c r="AJ170" s="320"/>
      <c r="AK170" s="320"/>
      <c r="AL170" s="320"/>
      <c r="AM170" s="320"/>
      <c r="AN170" s="320"/>
      <c r="AO170" s="320"/>
      <c r="AP170" s="320"/>
      <c r="AQ170" s="320"/>
      <c r="AR170" s="320"/>
      <c r="AS170" s="320"/>
      <c r="AT170" s="320"/>
    </row>
    <row r="171" ht="12" spans="1:46">
      <c r="A171" s="320"/>
      <c r="B171" s="320"/>
      <c r="C171" s="320"/>
      <c r="D171" s="320"/>
      <c r="E171" s="320"/>
      <c r="F171" s="320"/>
      <c r="G171" s="320"/>
      <c r="H171" s="320"/>
      <c r="I171" s="320"/>
      <c r="J171" s="320"/>
      <c r="K171" s="320"/>
      <c r="L171" s="320"/>
      <c r="M171" s="320"/>
      <c r="N171" s="329"/>
      <c r="O171" s="320"/>
      <c r="P171" s="320"/>
      <c r="Q171" s="320"/>
      <c r="R171" s="320"/>
      <c r="S171" s="320"/>
      <c r="T171" s="320"/>
      <c r="U171" s="320"/>
      <c r="V171" s="320"/>
      <c r="W171" s="320"/>
      <c r="X171" s="320"/>
      <c r="Y171" s="320"/>
      <c r="Z171" s="320"/>
      <c r="AA171" s="320"/>
      <c r="AB171" s="320"/>
      <c r="AC171" s="320"/>
      <c r="AD171" s="320"/>
      <c r="AE171" s="320"/>
      <c r="AF171" s="320"/>
      <c r="AG171" s="320"/>
      <c r="AH171" s="320"/>
      <c r="AI171" s="320"/>
      <c r="AJ171" s="320"/>
      <c r="AK171" s="320"/>
      <c r="AL171" s="320"/>
      <c r="AM171" s="320"/>
      <c r="AN171" s="320"/>
      <c r="AO171" s="320"/>
      <c r="AP171" s="320"/>
      <c r="AQ171" s="320"/>
      <c r="AR171" s="320"/>
      <c r="AS171" s="320"/>
      <c r="AT171" s="320"/>
    </row>
    <row r="172" ht="12" spans="1:46">
      <c r="A172" s="320"/>
      <c r="B172" s="320"/>
      <c r="C172" s="320"/>
      <c r="D172" s="320"/>
      <c r="E172" s="320"/>
      <c r="F172" s="320"/>
      <c r="G172" s="320"/>
      <c r="H172" s="320"/>
      <c r="I172" s="320"/>
      <c r="J172" s="320"/>
      <c r="K172" s="320"/>
      <c r="L172" s="320"/>
      <c r="M172" s="320"/>
      <c r="N172" s="329"/>
      <c r="O172" s="320"/>
      <c r="P172" s="320"/>
      <c r="Q172" s="320"/>
      <c r="R172" s="320"/>
      <c r="S172" s="320"/>
      <c r="T172" s="320"/>
      <c r="U172" s="320"/>
      <c r="V172" s="320"/>
      <c r="W172" s="320"/>
      <c r="X172" s="320"/>
      <c r="Y172" s="320"/>
      <c r="Z172" s="320"/>
      <c r="AA172" s="320"/>
      <c r="AB172" s="320"/>
      <c r="AC172" s="320"/>
      <c r="AD172" s="320"/>
      <c r="AE172" s="320"/>
      <c r="AF172" s="320"/>
      <c r="AG172" s="320"/>
      <c r="AH172" s="320"/>
      <c r="AI172" s="320"/>
      <c r="AJ172" s="320"/>
      <c r="AK172" s="320"/>
      <c r="AL172" s="320"/>
      <c r="AM172" s="320"/>
      <c r="AN172" s="320"/>
      <c r="AO172" s="320"/>
      <c r="AP172" s="320"/>
      <c r="AQ172" s="320"/>
      <c r="AR172" s="320"/>
      <c r="AS172" s="320"/>
      <c r="AT172" s="320"/>
    </row>
    <row r="173" ht="12" spans="1:46">
      <c r="A173" s="320"/>
      <c r="B173" s="320"/>
      <c r="C173" s="320"/>
      <c r="D173" s="320"/>
      <c r="E173" s="320"/>
      <c r="F173" s="320"/>
      <c r="G173" s="320"/>
      <c r="H173" s="320"/>
      <c r="I173" s="320"/>
      <c r="J173" s="320"/>
      <c r="K173" s="320"/>
      <c r="L173" s="320"/>
      <c r="M173" s="320"/>
      <c r="N173" s="329"/>
      <c r="O173" s="320"/>
      <c r="P173" s="320"/>
      <c r="Q173" s="320"/>
      <c r="R173" s="320"/>
      <c r="S173" s="320"/>
      <c r="T173" s="320"/>
      <c r="U173" s="320"/>
      <c r="V173" s="320"/>
      <c r="W173" s="320"/>
      <c r="X173" s="320"/>
      <c r="Y173" s="320"/>
      <c r="Z173" s="320"/>
      <c r="AA173" s="320"/>
      <c r="AB173" s="320"/>
      <c r="AC173" s="320"/>
      <c r="AD173" s="320"/>
      <c r="AE173" s="320"/>
      <c r="AF173" s="320"/>
      <c r="AG173" s="320"/>
      <c r="AH173" s="320"/>
      <c r="AI173" s="320"/>
      <c r="AJ173" s="320"/>
      <c r="AK173" s="320"/>
      <c r="AL173" s="320"/>
      <c r="AM173" s="320"/>
      <c r="AN173" s="320"/>
      <c r="AO173" s="320"/>
      <c r="AP173" s="320"/>
      <c r="AQ173" s="320"/>
      <c r="AR173" s="320"/>
      <c r="AS173" s="320"/>
      <c r="AT173" s="320"/>
    </row>
    <row r="174" ht="12" spans="1:46">
      <c r="A174" s="320"/>
      <c r="B174" s="320"/>
      <c r="C174" s="320"/>
      <c r="D174" s="320"/>
      <c r="E174" s="320"/>
      <c r="F174" s="320"/>
      <c r="G174" s="320"/>
      <c r="H174" s="320"/>
      <c r="I174" s="320"/>
      <c r="J174" s="320"/>
      <c r="K174" s="320"/>
      <c r="L174" s="320"/>
      <c r="M174" s="320"/>
      <c r="N174" s="329"/>
      <c r="O174" s="320"/>
      <c r="P174" s="320"/>
      <c r="Q174" s="320"/>
      <c r="R174" s="320"/>
      <c r="S174" s="320"/>
      <c r="T174" s="320"/>
      <c r="U174" s="320"/>
      <c r="V174" s="320"/>
      <c r="W174" s="320"/>
      <c r="X174" s="320"/>
      <c r="Y174" s="320"/>
      <c r="Z174" s="320"/>
      <c r="AA174" s="320"/>
      <c r="AB174" s="320"/>
      <c r="AC174" s="320"/>
      <c r="AD174" s="320"/>
      <c r="AE174" s="320"/>
      <c r="AF174" s="320"/>
      <c r="AG174" s="320"/>
      <c r="AH174" s="320"/>
      <c r="AI174" s="320"/>
      <c r="AJ174" s="320"/>
      <c r="AK174" s="320"/>
      <c r="AL174" s="320"/>
      <c r="AM174" s="320"/>
      <c r="AN174" s="320"/>
      <c r="AO174" s="320"/>
      <c r="AP174" s="320"/>
      <c r="AQ174" s="320"/>
      <c r="AR174" s="320"/>
      <c r="AS174" s="320"/>
      <c r="AT174" s="320"/>
    </row>
    <row r="175" ht="12" spans="1:46">
      <c r="A175" s="320"/>
      <c r="B175" s="320"/>
      <c r="C175" s="320"/>
      <c r="D175" s="320"/>
      <c r="E175" s="320"/>
      <c r="F175" s="320"/>
      <c r="G175" s="320"/>
      <c r="H175" s="320"/>
      <c r="I175" s="320"/>
      <c r="J175" s="320"/>
      <c r="K175" s="320"/>
      <c r="L175" s="320"/>
      <c r="M175" s="320"/>
      <c r="N175" s="329"/>
      <c r="O175" s="320"/>
      <c r="P175" s="320"/>
      <c r="Q175" s="320"/>
      <c r="R175" s="320"/>
      <c r="S175" s="320"/>
      <c r="T175" s="320"/>
      <c r="U175" s="320"/>
      <c r="V175" s="320"/>
      <c r="W175" s="320"/>
      <c r="X175" s="320"/>
      <c r="Y175" s="320"/>
      <c r="Z175" s="320"/>
      <c r="AA175" s="320"/>
      <c r="AB175" s="320"/>
      <c r="AC175" s="320"/>
      <c r="AD175" s="320"/>
      <c r="AE175" s="320"/>
      <c r="AF175" s="320"/>
      <c r="AG175" s="320"/>
      <c r="AH175" s="320"/>
      <c r="AI175" s="320"/>
      <c r="AJ175" s="320"/>
      <c r="AK175" s="320"/>
      <c r="AL175" s="320"/>
      <c r="AM175" s="320"/>
      <c r="AN175" s="320"/>
      <c r="AO175" s="320"/>
      <c r="AP175" s="320"/>
      <c r="AQ175" s="320"/>
      <c r="AR175" s="320"/>
      <c r="AS175" s="320"/>
      <c r="AT175" s="320"/>
    </row>
    <row r="176" ht="12" spans="1:46">
      <c r="A176" s="320"/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9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320"/>
      <c r="AB176" s="320"/>
      <c r="AC176" s="320"/>
      <c r="AD176" s="320"/>
      <c r="AE176" s="320"/>
      <c r="AF176" s="320"/>
      <c r="AG176" s="320"/>
      <c r="AH176" s="320"/>
      <c r="AI176" s="320"/>
      <c r="AJ176" s="320"/>
      <c r="AK176" s="320"/>
      <c r="AL176" s="320"/>
      <c r="AM176" s="320"/>
      <c r="AN176" s="320"/>
      <c r="AO176" s="320"/>
      <c r="AP176" s="320"/>
      <c r="AQ176" s="320"/>
      <c r="AR176" s="320"/>
      <c r="AS176" s="320"/>
      <c r="AT176" s="320"/>
    </row>
    <row r="177" ht="12" spans="1:46">
      <c r="A177" s="320"/>
      <c r="B177" s="320"/>
      <c r="C177" s="320"/>
      <c r="D177" s="320"/>
      <c r="E177" s="320"/>
      <c r="F177" s="320"/>
      <c r="G177" s="320"/>
      <c r="H177" s="320"/>
      <c r="I177" s="320"/>
      <c r="J177" s="320"/>
      <c r="K177" s="320"/>
      <c r="L177" s="320"/>
      <c r="M177" s="320"/>
      <c r="N177" s="329"/>
      <c r="O177" s="320"/>
      <c r="P177" s="320"/>
      <c r="Q177" s="320"/>
      <c r="R177" s="320"/>
      <c r="S177" s="320"/>
      <c r="T177" s="320"/>
      <c r="U177" s="320"/>
      <c r="V177" s="320"/>
      <c r="W177" s="320"/>
      <c r="X177" s="320"/>
      <c r="Y177" s="320"/>
      <c r="Z177" s="320"/>
      <c r="AA177" s="320"/>
      <c r="AB177" s="320"/>
      <c r="AC177" s="320"/>
      <c r="AD177" s="320"/>
      <c r="AE177" s="320"/>
      <c r="AF177" s="320"/>
      <c r="AG177" s="320"/>
      <c r="AH177" s="320"/>
      <c r="AI177" s="320"/>
      <c r="AJ177" s="320"/>
      <c r="AK177" s="320"/>
      <c r="AL177" s="320"/>
      <c r="AM177" s="320"/>
      <c r="AN177" s="320"/>
      <c r="AO177" s="320"/>
      <c r="AP177" s="320"/>
      <c r="AQ177" s="320"/>
      <c r="AR177" s="320"/>
      <c r="AS177" s="320"/>
      <c r="AT177" s="320"/>
    </row>
  </sheetData>
  <dataValidations count="2">
    <dataValidation type="list" allowBlank="1" showInputMessage="1" showErrorMessage="1" sqref="D2">
      <formula1>"单基金持仓规模检查,组合基金持仓规模检查,"</formula1>
    </dataValidation>
    <dataValidation type="list" allowBlank="1" showInputMessage="1" showErrorMessage="1" sqref="L2">
      <formula1>"申购,赎回,认购,"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基金风控点(二期)"/>
  <dimension ref="A1:AN10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8" customHeight="1"/>
  <cols>
    <col min="1" max="1" width="14.5648148148148" style="299" customWidth="1"/>
    <col min="2" max="2" width="14.0277777777778" style="15" customWidth="1"/>
    <col min="3" max="3" width="23.0925925925926" style="15" customWidth="1"/>
    <col min="4" max="4" width="23.6018518518519" style="15" customWidth="1"/>
    <col min="5" max="5" width="13.0833333333333" style="16" customWidth="1"/>
    <col min="6" max="6" width="14.8333333333333" style="15" customWidth="1"/>
    <col min="7" max="7" width="18.212962962963" style="16" customWidth="1"/>
    <col min="8" max="40" width="10.9259259259259" style="130" customWidth="1"/>
  </cols>
  <sheetData>
    <row r="1" s="297" customFormat="1" ht="60.75" customHeight="1" spans="1:7">
      <c r="A1" s="300" t="s">
        <v>242</v>
      </c>
      <c r="B1" s="301" t="s">
        <v>0</v>
      </c>
      <c r="C1" s="301" t="s">
        <v>243</v>
      </c>
      <c r="D1" s="301" t="s">
        <v>244</v>
      </c>
      <c r="E1" s="302" t="s">
        <v>245</v>
      </c>
      <c r="F1" s="302" t="s">
        <v>246</v>
      </c>
      <c r="G1" s="22" t="s">
        <v>651</v>
      </c>
    </row>
    <row r="2" customHeight="1" spans="1:7">
      <c r="A2" s="303">
        <v>1</v>
      </c>
      <c r="B2" s="25" t="s">
        <v>606</v>
      </c>
      <c r="C2" s="304" t="s">
        <v>173</v>
      </c>
      <c r="D2" s="305" t="s">
        <v>173</v>
      </c>
      <c r="E2" s="25" t="s">
        <v>256</v>
      </c>
      <c r="F2" s="26">
        <v>1100000</v>
      </c>
      <c r="G2" s="16" t="s">
        <v>652</v>
      </c>
    </row>
    <row r="3" customHeight="1" spans="1:7">
      <c r="A3" s="127"/>
      <c r="B3" s="25" t="s">
        <v>614</v>
      </c>
      <c r="C3" s="58" t="s">
        <v>173</v>
      </c>
      <c r="D3" s="15" t="s">
        <v>173</v>
      </c>
      <c r="E3" s="25" t="s">
        <v>256</v>
      </c>
      <c r="F3" s="26">
        <v>2300000</v>
      </c>
      <c r="G3" s="16" t="s">
        <v>653</v>
      </c>
    </row>
    <row r="4" ht="24.75" customHeight="1" spans="1:8">
      <c r="A4" s="127"/>
      <c r="B4" s="25" t="s">
        <v>617</v>
      </c>
      <c r="C4" s="58" t="s">
        <v>173</v>
      </c>
      <c r="D4" s="15" t="s">
        <v>173</v>
      </c>
      <c r="E4" s="25"/>
      <c r="F4" s="25"/>
      <c r="H4" s="130" t="s">
        <v>654</v>
      </c>
    </row>
    <row r="5" customHeight="1" spans="1:7">
      <c r="A5" s="127"/>
      <c r="B5" s="25" t="s">
        <v>621</v>
      </c>
      <c r="C5" s="58" t="s">
        <v>173</v>
      </c>
      <c r="D5" s="15" t="s">
        <v>173</v>
      </c>
      <c r="E5" s="25" t="s">
        <v>256</v>
      </c>
      <c r="F5" s="26">
        <v>1400000</v>
      </c>
      <c r="G5" s="16" t="s">
        <v>655</v>
      </c>
    </row>
    <row r="6" customHeight="1" spans="1:7">
      <c r="A6" s="127"/>
      <c r="B6" s="25" t="s">
        <v>626</v>
      </c>
      <c r="C6" s="58" t="s">
        <v>173</v>
      </c>
      <c r="D6" s="15" t="s">
        <v>173</v>
      </c>
      <c r="E6" s="25" t="s">
        <v>256</v>
      </c>
      <c r="F6" s="26">
        <v>2450000</v>
      </c>
      <c r="G6" s="16" t="s">
        <v>656</v>
      </c>
    </row>
    <row r="7" customHeight="1" spans="1:7">
      <c r="A7" s="127"/>
      <c r="B7" s="25" t="s">
        <v>630</v>
      </c>
      <c r="C7" s="25" t="s">
        <v>173</v>
      </c>
      <c r="D7" s="15" t="s">
        <v>173</v>
      </c>
      <c r="E7" s="25" t="s">
        <v>256</v>
      </c>
      <c r="F7" s="26">
        <v>2100000</v>
      </c>
      <c r="G7" s="16" t="s">
        <v>657</v>
      </c>
    </row>
    <row r="8" ht="29.25" customHeight="1" spans="1:8">
      <c r="A8" s="127"/>
      <c r="B8" s="25" t="s">
        <v>635</v>
      </c>
      <c r="C8" s="58" t="s">
        <v>173</v>
      </c>
      <c r="D8" s="15" t="s">
        <v>173</v>
      </c>
      <c r="E8" s="25"/>
      <c r="F8" s="25"/>
      <c r="G8" s="26"/>
      <c r="H8" s="130" t="s">
        <v>654</v>
      </c>
    </row>
    <row r="9" customHeight="1" spans="1:7">
      <c r="A9" s="127"/>
      <c r="B9" s="25" t="s">
        <v>639</v>
      </c>
      <c r="C9" s="58" t="s">
        <v>173</v>
      </c>
      <c r="D9" s="15" t="s">
        <v>173</v>
      </c>
      <c r="E9" s="25" t="s">
        <v>256</v>
      </c>
      <c r="F9" s="26">
        <v>4400000</v>
      </c>
      <c r="G9" s="16" t="s">
        <v>658</v>
      </c>
    </row>
    <row r="10" ht="27" customHeight="1" spans="1:7">
      <c r="A10" s="127"/>
      <c r="B10" s="25" t="s">
        <v>641</v>
      </c>
      <c r="C10" s="58" t="s">
        <v>173</v>
      </c>
      <c r="D10" s="15" t="s">
        <v>173</v>
      </c>
      <c r="E10" s="25" t="s">
        <v>275</v>
      </c>
      <c r="F10" s="26">
        <v>56800000</v>
      </c>
      <c r="G10" s="16" t="s">
        <v>659</v>
      </c>
    </row>
    <row r="11" ht="34.5" customHeight="1" spans="1:8">
      <c r="A11" s="127"/>
      <c r="B11" s="25" t="s">
        <v>644</v>
      </c>
      <c r="C11" s="58" t="s">
        <v>173</v>
      </c>
      <c r="D11" s="15" t="s">
        <v>173</v>
      </c>
      <c r="E11" s="25"/>
      <c r="F11" s="25"/>
      <c r="H11" s="130" t="s">
        <v>654</v>
      </c>
    </row>
    <row r="12" customHeight="1" spans="1:7">
      <c r="A12" s="103"/>
      <c r="B12" s="25" t="s">
        <v>646</v>
      </c>
      <c r="C12" s="58" t="s">
        <v>173</v>
      </c>
      <c r="D12" s="15" t="s">
        <v>173</v>
      </c>
      <c r="E12" s="25" t="s">
        <v>256</v>
      </c>
      <c r="F12" s="26">
        <v>8289600</v>
      </c>
      <c r="G12" s="16" t="s">
        <v>660</v>
      </c>
    </row>
    <row r="13" s="298" customFormat="1" customHeight="1" spans="1:40">
      <c r="A13" s="306">
        <v>2</v>
      </c>
      <c r="B13" s="307" t="s">
        <v>606</v>
      </c>
      <c r="C13" s="307" t="s">
        <v>172</v>
      </c>
      <c r="D13" s="307" t="s">
        <v>172</v>
      </c>
      <c r="E13" s="25" t="s">
        <v>256</v>
      </c>
      <c r="F13" s="26">
        <v>1100000</v>
      </c>
      <c r="G13" s="308" t="s">
        <v>661</v>
      </c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  <c r="AC13" s="309"/>
      <c r="AD13" s="309"/>
      <c r="AE13" s="309"/>
      <c r="AF13" s="309"/>
      <c r="AG13" s="309"/>
      <c r="AH13" s="309"/>
      <c r="AI13" s="309"/>
      <c r="AJ13" s="309"/>
      <c r="AK13" s="309"/>
      <c r="AL13" s="309"/>
      <c r="AM13" s="309"/>
      <c r="AN13" s="309"/>
    </row>
    <row r="14" customHeight="1" spans="1:7">
      <c r="A14" s="127"/>
      <c r="B14" s="25" t="s">
        <v>614</v>
      </c>
      <c r="C14" s="25" t="s">
        <v>172</v>
      </c>
      <c r="D14" s="25" t="s">
        <v>172</v>
      </c>
      <c r="E14" s="25" t="s">
        <v>256</v>
      </c>
      <c r="F14" s="26">
        <v>2300000</v>
      </c>
      <c r="G14" s="16" t="s">
        <v>662</v>
      </c>
    </row>
    <row r="15" ht="33" customHeight="1" spans="1:8">
      <c r="A15" s="127"/>
      <c r="B15" s="25" t="s">
        <v>617</v>
      </c>
      <c r="C15" s="25" t="s">
        <v>172</v>
      </c>
      <c r="D15" s="25" t="s">
        <v>172</v>
      </c>
      <c r="E15" s="25"/>
      <c r="F15" s="25"/>
      <c r="H15" s="130" t="s">
        <v>654</v>
      </c>
    </row>
    <row r="16" customHeight="1" spans="1:7">
      <c r="A16" s="127"/>
      <c r="B16" s="25" t="s">
        <v>621</v>
      </c>
      <c r="C16" s="25" t="s">
        <v>172</v>
      </c>
      <c r="D16" s="25" t="s">
        <v>172</v>
      </c>
      <c r="E16" s="25" t="s">
        <v>256</v>
      </c>
      <c r="F16" s="26">
        <v>3700000</v>
      </c>
      <c r="G16" s="16" t="s">
        <v>663</v>
      </c>
    </row>
    <row r="17" customHeight="1" spans="1:7">
      <c r="A17" s="127"/>
      <c r="B17" s="25" t="s">
        <v>626</v>
      </c>
      <c r="C17" s="25" t="s">
        <v>172</v>
      </c>
      <c r="D17" s="25" t="s">
        <v>172</v>
      </c>
      <c r="E17" s="25" t="s">
        <v>256</v>
      </c>
      <c r="F17" s="26">
        <v>3850000</v>
      </c>
      <c r="G17" s="16" t="s">
        <v>664</v>
      </c>
    </row>
    <row r="18" customHeight="1" spans="1:7">
      <c r="A18" s="127"/>
      <c r="B18" s="25" t="s">
        <v>630</v>
      </c>
      <c r="C18" s="25" t="s">
        <v>172</v>
      </c>
      <c r="D18" s="25" t="s">
        <v>172</v>
      </c>
      <c r="E18" s="25" t="s">
        <v>256</v>
      </c>
      <c r="F18" s="26">
        <v>4400000</v>
      </c>
      <c r="G18" s="16" t="s">
        <v>665</v>
      </c>
    </row>
    <row r="19" ht="40.5" customHeight="1" spans="1:8">
      <c r="A19" s="127"/>
      <c r="B19" s="25" t="s">
        <v>635</v>
      </c>
      <c r="C19" s="25" t="s">
        <v>172</v>
      </c>
      <c r="D19" s="25" t="s">
        <v>172</v>
      </c>
      <c r="E19" s="25"/>
      <c r="F19" s="26"/>
      <c r="H19" s="130" t="s">
        <v>654</v>
      </c>
    </row>
    <row r="20" customHeight="1" spans="1:7">
      <c r="A20" s="127"/>
      <c r="B20" s="25" t="s">
        <v>639</v>
      </c>
      <c r="C20" s="25" t="s">
        <v>172</v>
      </c>
      <c r="D20" s="25" t="s">
        <v>172</v>
      </c>
      <c r="E20" s="25" t="s">
        <v>256</v>
      </c>
      <c r="F20" s="26">
        <v>6950000</v>
      </c>
      <c r="G20" s="16" t="s">
        <v>666</v>
      </c>
    </row>
    <row r="21" ht="32.25" customHeight="1" spans="1:7">
      <c r="A21" s="127"/>
      <c r="B21" s="25" t="s">
        <v>641</v>
      </c>
      <c r="C21" s="25" t="s">
        <v>172</v>
      </c>
      <c r="D21" s="25" t="s">
        <v>172</v>
      </c>
      <c r="E21" s="25" t="s">
        <v>275</v>
      </c>
      <c r="F21" s="26">
        <v>59350000</v>
      </c>
      <c r="G21" s="16" t="s">
        <v>667</v>
      </c>
    </row>
    <row r="22" ht="36" customHeight="1" spans="1:8">
      <c r="A22" s="127"/>
      <c r="B22" s="25" t="s">
        <v>644</v>
      </c>
      <c r="C22" s="25" t="s">
        <v>172</v>
      </c>
      <c r="D22" s="25" t="s">
        <v>172</v>
      </c>
      <c r="E22" s="25"/>
      <c r="F22" s="26"/>
      <c r="H22" s="130" t="s">
        <v>654</v>
      </c>
    </row>
    <row r="23" customHeight="1" spans="1:7">
      <c r="A23" s="103"/>
      <c r="B23" s="25" t="s">
        <v>646</v>
      </c>
      <c r="C23" s="25" t="s">
        <v>172</v>
      </c>
      <c r="D23" s="25" t="s">
        <v>172</v>
      </c>
      <c r="E23" s="25" t="s">
        <v>256</v>
      </c>
      <c r="F23" s="26">
        <v>10839600</v>
      </c>
      <c r="G23" s="16" t="s">
        <v>668</v>
      </c>
    </row>
    <row r="24" customHeight="1" spans="2:4">
      <c r="B24" s="90"/>
      <c r="D24" s="130"/>
    </row>
    <row r="25" customHeight="1" spans="2:7">
      <c r="B25" s="14"/>
      <c r="D25" s="130"/>
      <c r="G25" s="26"/>
    </row>
    <row r="26" customHeight="1" spans="4:4">
      <c r="D26" s="130"/>
    </row>
    <row r="27" customHeight="1" spans="4:4">
      <c r="D27" s="130"/>
    </row>
    <row r="28" customHeight="1" spans="4:4">
      <c r="D28" s="130"/>
    </row>
    <row r="29" customHeight="1" spans="4:4">
      <c r="D29" s="130"/>
    </row>
    <row r="30" customHeight="1" spans="4:4">
      <c r="D30" s="130"/>
    </row>
    <row r="31" customHeight="1" spans="4:4">
      <c r="D31" s="130"/>
    </row>
    <row r="32" customHeight="1" spans="4:4">
      <c r="D32" s="130"/>
    </row>
    <row r="33" customHeight="1" spans="4:4">
      <c r="D33" s="130"/>
    </row>
    <row r="34" customHeight="1" spans="4:4">
      <c r="D34" s="130"/>
    </row>
    <row r="35" customHeight="1" spans="4:4">
      <c r="D35" s="130"/>
    </row>
    <row r="36" customHeight="1" spans="4:4">
      <c r="D36" s="130"/>
    </row>
    <row r="37" customHeight="1" spans="4:4">
      <c r="D37" s="130"/>
    </row>
    <row r="38" customHeight="1" spans="4:4">
      <c r="D38" s="130"/>
    </row>
    <row r="39" customHeight="1" spans="4:4">
      <c r="D39" s="130"/>
    </row>
    <row r="40" customHeight="1" spans="4:4">
      <c r="D40" s="130"/>
    </row>
    <row r="41" customHeight="1" spans="4:4">
      <c r="D41" s="130"/>
    </row>
    <row r="42" customHeight="1" spans="4:4">
      <c r="D42" s="130"/>
    </row>
    <row r="43" customHeight="1" spans="4:4">
      <c r="D43" s="130"/>
    </row>
    <row r="44" customHeight="1" spans="4:4">
      <c r="D44" s="130"/>
    </row>
    <row r="45" customHeight="1" spans="4:4">
      <c r="D45" s="130"/>
    </row>
    <row r="46" customHeight="1" spans="4:4">
      <c r="D46" s="130"/>
    </row>
    <row r="47" customHeight="1" spans="4:4">
      <c r="D47" s="130"/>
    </row>
    <row r="48" customHeight="1" spans="4:4">
      <c r="D48" s="130"/>
    </row>
    <row r="49" customHeight="1" spans="4:4">
      <c r="D49" s="130"/>
    </row>
    <row r="50" customHeight="1" spans="4:4">
      <c r="D50" s="130"/>
    </row>
    <row r="51" customHeight="1" spans="4:4">
      <c r="D51" s="130"/>
    </row>
    <row r="52" customHeight="1" spans="4:4">
      <c r="D52" s="130"/>
    </row>
    <row r="53" customHeight="1" spans="4:4">
      <c r="D53" s="130"/>
    </row>
    <row r="54" customHeight="1" spans="4:4">
      <c r="D54" s="130"/>
    </row>
    <row r="55" customHeight="1" spans="4:4">
      <c r="D55" s="130"/>
    </row>
    <row r="56" customHeight="1" spans="4:4">
      <c r="D56" s="130"/>
    </row>
    <row r="57" customHeight="1" spans="4:4">
      <c r="D57" s="130"/>
    </row>
    <row r="58" customHeight="1" spans="4:4">
      <c r="D58" s="130"/>
    </row>
    <row r="59" customHeight="1" spans="4:4">
      <c r="D59" s="130"/>
    </row>
    <row r="60" customHeight="1" spans="4:4">
      <c r="D60" s="130"/>
    </row>
    <row r="61" customHeight="1" spans="4:4">
      <c r="D61" s="130"/>
    </row>
    <row r="62" customHeight="1" spans="4:4">
      <c r="D62" s="130"/>
    </row>
    <row r="63" customHeight="1" spans="4:4">
      <c r="D63" s="130"/>
    </row>
    <row r="64" customHeight="1" spans="4:4">
      <c r="D64" s="130"/>
    </row>
    <row r="65" customHeight="1" spans="4:4">
      <c r="D65" s="130"/>
    </row>
    <row r="66" customHeight="1" spans="4:4">
      <c r="D66" s="130"/>
    </row>
    <row r="67" customHeight="1" spans="4:4">
      <c r="D67" s="130"/>
    </row>
    <row r="68" customHeight="1" spans="4:4">
      <c r="D68" s="130"/>
    </row>
    <row r="69" customHeight="1" spans="4:4">
      <c r="D69" s="130"/>
    </row>
    <row r="70" customHeight="1" spans="4:4">
      <c r="D70" s="130"/>
    </row>
    <row r="71" customHeight="1" spans="4:4">
      <c r="D71" s="130"/>
    </row>
    <row r="72" customHeight="1" spans="4:4">
      <c r="D72" s="130"/>
    </row>
    <row r="73" customHeight="1" spans="4:4">
      <c r="D73" s="130"/>
    </row>
    <row r="74" customHeight="1" spans="4:4">
      <c r="D74" s="130"/>
    </row>
    <row r="75" customHeight="1" spans="4:4">
      <c r="D75" s="130"/>
    </row>
    <row r="76" customHeight="1" spans="4:4">
      <c r="D76" s="130"/>
    </row>
    <row r="77" customHeight="1" spans="4:4">
      <c r="D77" s="130"/>
    </row>
    <row r="78" customHeight="1" spans="4:4">
      <c r="D78" s="130"/>
    </row>
    <row r="79" customHeight="1" spans="4:4">
      <c r="D79" s="130"/>
    </row>
    <row r="80" customHeight="1" spans="4:4">
      <c r="D80" s="130"/>
    </row>
    <row r="81" customHeight="1" spans="4:4">
      <c r="D81" s="130"/>
    </row>
    <row r="82" customHeight="1" spans="4:4">
      <c r="D82" s="130"/>
    </row>
    <row r="83" customHeight="1" spans="4:4">
      <c r="D83" s="130"/>
    </row>
    <row r="84" customHeight="1" spans="4:4">
      <c r="D84" s="130"/>
    </row>
    <row r="85" customHeight="1" spans="4:4">
      <c r="D85" s="130"/>
    </row>
    <row r="86" customHeight="1" spans="4:4">
      <c r="D86" s="130"/>
    </row>
    <row r="87" customHeight="1" spans="4:4">
      <c r="D87" s="130"/>
    </row>
    <row r="88" customHeight="1" spans="4:4">
      <c r="D88" s="130"/>
    </row>
    <row r="89" customHeight="1" spans="4:4">
      <c r="D89" s="130"/>
    </row>
    <row r="90" customHeight="1" spans="4:4">
      <c r="D90" s="130"/>
    </row>
    <row r="91" customHeight="1" spans="4:4">
      <c r="D91" s="130"/>
    </row>
    <row r="92" customHeight="1" spans="4:4">
      <c r="D92" s="130"/>
    </row>
    <row r="93" customHeight="1" spans="4:4">
      <c r="D93" s="130"/>
    </row>
    <row r="94" customHeight="1" spans="4:4">
      <c r="D94" s="130"/>
    </row>
    <row r="95" customHeight="1" spans="4:4">
      <c r="D95" s="130"/>
    </row>
    <row r="96" customHeight="1" spans="4:4">
      <c r="D96" s="130"/>
    </row>
    <row r="97" customHeight="1" spans="4:4">
      <c r="D97" s="130"/>
    </row>
    <row r="98" customHeight="1" spans="4:4">
      <c r="D98" s="130"/>
    </row>
    <row r="99" customHeight="1" spans="4:4">
      <c r="D99" s="130"/>
    </row>
    <row r="100" customHeight="1" spans="4:4">
      <c r="D100" s="130"/>
    </row>
    <row r="101" customHeight="1" spans="4:4">
      <c r="D101" s="130"/>
    </row>
    <row r="102" customHeight="1" spans="4:4">
      <c r="D102" s="130"/>
    </row>
    <row r="103" customHeight="1" spans="4:4">
      <c r="D103" s="130"/>
    </row>
    <row r="104" customHeight="1" spans="4:4">
      <c r="D104" s="130"/>
    </row>
    <row r="105" customHeight="1" spans="4:4">
      <c r="D105" s="130"/>
    </row>
    <row r="106" customHeight="1" spans="4:4">
      <c r="D106" s="130"/>
    </row>
    <row r="107" customHeight="1" spans="4:4">
      <c r="D107" s="130"/>
    </row>
    <row r="108" customHeight="1" spans="4:4">
      <c r="D108" s="130"/>
    </row>
  </sheetData>
  <mergeCells count="2">
    <mergeCell ref="A2:A12"/>
    <mergeCell ref="A13:A23"/>
  </mergeCells>
  <dataValidations count="1">
    <dataValidation type="list" allowBlank="1" showInputMessage="1" showErrorMessage="1" sqref="C2:D2">
      <formula1>"单基金持仓规模检查,组合基金持仓规模检查,"</formula1>
    </dataValidation>
  </dataValidation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数据字典"/>
  <dimension ref="A1:F87"/>
  <sheetViews>
    <sheetView workbookViewId="0">
      <selection activeCell="A1" sqref="A1"/>
    </sheetView>
  </sheetViews>
  <sheetFormatPr defaultColWidth="14" defaultRowHeight="18" customHeight="1" outlineLevelCol="5"/>
  <cols>
    <col min="1" max="1" width="20.6296296296296" customWidth="1"/>
    <col min="6" max="6" width="18.25" customWidth="1"/>
  </cols>
  <sheetData>
    <row r="1" customHeight="1" spans="1:6">
      <c r="A1" t="s">
        <v>669</v>
      </c>
      <c r="B1" t="s">
        <v>374</v>
      </c>
      <c r="C1" t="s">
        <v>670</v>
      </c>
      <c r="E1" t="s">
        <v>669</v>
      </c>
      <c r="F1" t="s">
        <v>374</v>
      </c>
    </row>
    <row r="2" customHeight="1" spans="1:6">
      <c r="A2" t="s">
        <v>671</v>
      </c>
      <c r="E2">
        <v>223</v>
      </c>
      <c r="F2" t="s">
        <v>392</v>
      </c>
    </row>
    <row r="3" customHeight="1" spans="1:6">
      <c r="A3" t="s">
        <v>672</v>
      </c>
      <c r="E3">
        <v>323</v>
      </c>
      <c r="F3" t="s">
        <v>412</v>
      </c>
    </row>
    <row r="4" customHeight="1" spans="1:6">
      <c r="A4" t="s">
        <v>673</v>
      </c>
      <c r="E4">
        <v>904</v>
      </c>
      <c r="F4" t="s">
        <v>674</v>
      </c>
    </row>
    <row r="5" customHeight="1" spans="1:6">
      <c r="A5" t="s">
        <v>675</v>
      </c>
      <c r="E5">
        <v>226</v>
      </c>
      <c r="F5" t="s">
        <v>455</v>
      </c>
    </row>
    <row r="6" customHeight="1" spans="1:6">
      <c r="A6" t="s">
        <v>676</v>
      </c>
      <c r="E6">
        <v>231</v>
      </c>
      <c r="F6" t="s">
        <v>403</v>
      </c>
    </row>
    <row r="7" customHeight="1" spans="1:6">
      <c r="A7" t="s">
        <v>677</v>
      </c>
      <c r="E7">
        <v>326</v>
      </c>
      <c r="F7" t="s">
        <v>493</v>
      </c>
    </row>
    <row r="8" customHeight="1" spans="1:6">
      <c r="A8" t="s">
        <v>678</v>
      </c>
      <c r="E8">
        <v>327</v>
      </c>
      <c r="F8" t="s">
        <v>458</v>
      </c>
    </row>
    <row r="9" customHeight="1" spans="1:6">
      <c r="A9" t="s">
        <v>679</v>
      </c>
      <c r="E9">
        <v>901</v>
      </c>
      <c r="F9" t="s">
        <v>680</v>
      </c>
    </row>
    <row r="10" customHeight="1" spans="1:6">
      <c r="A10" t="s">
        <v>681</v>
      </c>
      <c r="E10">
        <v>906</v>
      </c>
      <c r="F10" t="s">
        <v>642</v>
      </c>
    </row>
    <row r="11" customHeight="1" spans="1:6">
      <c r="A11" t="s">
        <v>682</v>
      </c>
      <c r="E11">
        <v>227</v>
      </c>
      <c r="F11" t="s">
        <v>683</v>
      </c>
    </row>
    <row r="12" customHeight="1" spans="1:6">
      <c r="A12" t="s">
        <v>684</v>
      </c>
      <c r="E12">
        <v>702</v>
      </c>
      <c r="F12" t="s">
        <v>416</v>
      </c>
    </row>
    <row r="13" customHeight="1" spans="1:1">
      <c r="A13" t="s">
        <v>685</v>
      </c>
    </row>
    <row r="14" customHeight="1" spans="1:1">
      <c r="A14" t="s">
        <v>686</v>
      </c>
    </row>
    <row r="15" customHeight="1" spans="1:1">
      <c r="A15" t="s">
        <v>687</v>
      </c>
    </row>
    <row r="16" customHeight="1" spans="1:1">
      <c r="A16" t="s">
        <v>688</v>
      </c>
    </row>
    <row r="17" customHeight="1" spans="1:1">
      <c r="A17" t="s">
        <v>689</v>
      </c>
    </row>
    <row r="18" customHeight="1" spans="1:1">
      <c r="A18" t="s">
        <v>690</v>
      </c>
    </row>
    <row r="19" customHeight="1" spans="1:1">
      <c r="A19" t="s">
        <v>691</v>
      </c>
    </row>
    <row r="20" customHeight="1" spans="1:1">
      <c r="A20" t="s">
        <v>692</v>
      </c>
    </row>
    <row r="21" customHeight="1" spans="1:1">
      <c r="A21" t="s">
        <v>693</v>
      </c>
    </row>
    <row r="22" customHeight="1" spans="1:1">
      <c r="A22" t="s">
        <v>694</v>
      </c>
    </row>
    <row r="23" customHeight="1" spans="1:1">
      <c r="A23" t="s">
        <v>695</v>
      </c>
    </row>
    <row r="24" customHeight="1" spans="1:1">
      <c r="A24" t="s">
        <v>696</v>
      </c>
    </row>
    <row r="25" customHeight="1" spans="1:1">
      <c r="A25" t="s">
        <v>697</v>
      </c>
    </row>
    <row r="26" customHeight="1" spans="1:1">
      <c r="A26" t="s">
        <v>698</v>
      </c>
    </row>
    <row r="27" customHeight="1" spans="1:1">
      <c r="A27" t="s">
        <v>699</v>
      </c>
    </row>
    <row r="28" customHeight="1" spans="1:1">
      <c r="A28" t="s">
        <v>700</v>
      </c>
    </row>
    <row r="29" customHeight="1" spans="1:1">
      <c r="A29" t="s">
        <v>701</v>
      </c>
    </row>
    <row r="30" customHeight="1" spans="1:1">
      <c r="A30" t="s">
        <v>702</v>
      </c>
    </row>
    <row r="31" customHeight="1" spans="1:1">
      <c r="A31" t="s">
        <v>703</v>
      </c>
    </row>
    <row r="32" customHeight="1" spans="1:1">
      <c r="A32" t="s">
        <v>704</v>
      </c>
    </row>
    <row r="33" customHeight="1" spans="1:1">
      <c r="A33" t="s">
        <v>705</v>
      </c>
    </row>
    <row r="34" customHeight="1" spans="1:1">
      <c r="A34" t="s">
        <v>706</v>
      </c>
    </row>
    <row r="35" customHeight="1" spans="1:1">
      <c r="A35" t="s">
        <v>707</v>
      </c>
    </row>
    <row r="36" customHeight="1" spans="1:1">
      <c r="A36" t="s">
        <v>708</v>
      </c>
    </row>
    <row r="37" customHeight="1" spans="1:1">
      <c r="A37" t="s">
        <v>709</v>
      </c>
    </row>
    <row r="38" customHeight="1" spans="1:1">
      <c r="A38" t="s">
        <v>710</v>
      </c>
    </row>
    <row r="39" customHeight="1" spans="1:1">
      <c r="A39" t="s">
        <v>711</v>
      </c>
    </row>
    <row r="40" customHeight="1" spans="1:1">
      <c r="A40" t="s">
        <v>712</v>
      </c>
    </row>
    <row r="41" customHeight="1" spans="1:1">
      <c r="A41" t="s">
        <v>713</v>
      </c>
    </row>
    <row r="42" customHeight="1" spans="1:1">
      <c r="A42" t="s">
        <v>714</v>
      </c>
    </row>
    <row r="43" customHeight="1" spans="1:1">
      <c r="A43" t="s">
        <v>715</v>
      </c>
    </row>
    <row r="44" customHeight="1" spans="1:1">
      <c r="A44" t="s">
        <v>716</v>
      </c>
    </row>
    <row r="45" customHeight="1" spans="1:1">
      <c r="A45" t="s">
        <v>717</v>
      </c>
    </row>
    <row r="46" customHeight="1" spans="1:1">
      <c r="A46" t="s">
        <v>718</v>
      </c>
    </row>
    <row r="47" customHeight="1" spans="1:1">
      <c r="A47" t="s">
        <v>719</v>
      </c>
    </row>
    <row r="48" customHeight="1" spans="1:1">
      <c r="A48" t="s">
        <v>720</v>
      </c>
    </row>
    <row r="49" customHeight="1" spans="1:1">
      <c r="A49" t="s">
        <v>721</v>
      </c>
    </row>
    <row r="50" customHeight="1" spans="1:1">
      <c r="A50" t="s">
        <v>722</v>
      </c>
    </row>
    <row r="51" customHeight="1" spans="1:1">
      <c r="A51" t="s">
        <v>723</v>
      </c>
    </row>
    <row r="52" customHeight="1" spans="1:1">
      <c r="A52" t="s">
        <v>724</v>
      </c>
    </row>
    <row r="53" customHeight="1" spans="1:1">
      <c r="A53" t="s">
        <v>725</v>
      </c>
    </row>
    <row r="54" customHeight="1" spans="1:1">
      <c r="A54" t="s">
        <v>726</v>
      </c>
    </row>
    <row r="55" customHeight="1" spans="1:1">
      <c r="A55" t="s">
        <v>727</v>
      </c>
    </row>
    <row r="56" customHeight="1" spans="1:1">
      <c r="A56" t="s">
        <v>728</v>
      </c>
    </row>
    <row r="57" customHeight="1" spans="1:1">
      <c r="A57" t="s">
        <v>729</v>
      </c>
    </row>
    <row r="58" customHeight="1" spans="1:1">
      <c r="A58" t="s">
        <v>730</v>
      </c>
    </row>
    <row r="59" customHeight="1" spans="1:1">
      <c r="A59" t="s">
        <v>731</v>
      </c>
    </row>
    <row r="60" customHeight="1" spans="1:1">
      <c r="A60" t="s">
        <v>732</v>
      </c>
    </row>
    <row r="61" customHeight="1" spans="1:1">
      <c r="A61" t="s">
        <v>733</v>
      </c>
    </row>
    <row r="62" customHeight="1" spans="1:1">
      <c r="A62" t="s">
        <v>734</v>
      </c>
    </row>
    <row r="63" customHeight="1" spans="1:1">
      <c r="A63" t="s">
        <v>735</v>
      </c>
    </row>
    <row r="64" customHeight="1" spans="1:1">
      <c r="A64" t="s">
        <v>736</v>
      </c>
    </row>
    <row r="65" customHeight="1" spans="1:1">
      <c r="A65" t="s">
        <v>737</v>
      </c>
    </row>
    <row r="66" customHeight="1" spans="1:1">
      <c r="A66" t="s">
        <v>738</v>
      </c>
    </row>
    <row r="67" customHeight="1" spans="1:1">
      <c r="A67" t="s">
        <v>739</v>
      </c>
    </row>
    <row r="68" customHeight="1" spans="1:1">
      <c r="A68" t="s">
        <v>740</v>
      </c>
    </row>
    <row r="69" customHeight="1" spans="1:1">
      <c r="A69" t="s">
        <v>741</v>
      </c>
    </row>
    <row r="70" customHeight="1" spans="1:1">
      <c r="A70" t="s">
        <v>742</v>
      </c>
    </row>
    <row r="71" customHeight="1" spans="1:1">
      <c r="A71" t="s">
        <v>743</v>
      </c>
    </row>
    <row r="72" customHeight="1" spans="1:1">
      <c r="A72" t="s">
        <v>744</v>
      </c>
    </row>
    <row r="73" customHeight="1" spans="1:1">
      <c r="A73" t="s">
        <v>745</v>
      </c>
    </row>
    <row r="74" customHeight="1" spans="1:1">
      <c r="A74" t="s">
        <v>746</v>
      </c>
    </row>
    <row r="75" customHeight="1" spans="1:1">
      <c r="A75" t="s">
        <v>747</v>
      </c>
    </row>
    <row r="76" customHeight="1" spans="1:1">
      <c r="A76" t="s">
        <v>748</v>
      </c>
    </row>
    <row r="77" customHeight="1" spans="1:1">
      <c r="A77" t="s">
        <v>749</v>
      </c>
    </row>
    <row r="78" customHeight="1" spans="1:1">
      <c r="A78" t="s">
        <v>750</v>
      </c>
    </row>
    <row r="79" customHeight="1" spans="1:1">
      <c r="A79" t="s">
        <v>751</v>
      </c>
    </row>
    <row r="80" customHeight="1" spans="1:1">
      <c r="A80" t="s">
        <v>752</v>
      </c>
    </row>
    <row r="81" customHeight="1" spans="1:1">
      <c r="A81" t="s">
        <v>753</v>
      </c>
    </row>
    <row r="82" customHeight="1" spans="1:1">
      <c r="A82" t="s">
        <v>754</v>
      </c>
    </row>
    <row r="83" customHeight="1" spans="1:1">
      <c r="A83" t="s">
        <v>755</v>
      </c>
    </row>
    <row r="84" customHeight="1" spans="1:1">
      <c r="A84" t="s">
        <v>756</v>
      </c>
    </row>
    <row r="85" customHeight="1" spans="1:1">
      <c r="A85" t="s">
        <v>757</v>
      </c>
    </row>
    <row r="86" customHeight="1" spans="1:1">
      <c r="A86" t="s">
        <v>758</v>
      </c>
    </row>
    <row r="87" customHeight="1" spans="1:1">
      <c r="A87" t="s">
        <v>759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风控点"/>
  <dimension ref="A1:AS18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8" customHeight="1"/>
  <cols>
    <col min="1" max="1" width="14.5740740740741" style="130" customWidth="1"/>
    <col min="2" max="3" width="21.7222222222222" style="130" customWidth="1"/>
    <col min="4" max="4" width="18.4814814814815" style="130" customWidth="1"/>
    <col min="5" max="5" width="52.6018518518519" style="267" customWidth="1"/>
    <col min="6" max="6" width="25.8888888888889" style="198" customWidth="1"/>
    <col min="7" max="7" width="16.3240740740741" style="130" customWidth="1"/>
    <col min="8" max="45" width="10.9259259259259" style="130" customWidth="1"/>
  </cols>
  <sheetData>
    <row r="1" s="196" customFormat="1" ht="60.75" customHeight="1" spans="1:7">
      <c r="A1" s="199" t="s">
        <v>0</v>
      </c>
      <c r="B1" s="268" t="s">
        <v>760</v>
      </c>
      <c r="C1" s="269" t="s">
        <v>244</v>
      </c>
      <c r="D1" s="269" t="s">
        <v>245</v>
      </c>
      <c r="E1" s="270" t="s">
        <v>761</v>
      </c>
      <c r="F1" s="271" t="s">
        <v>246</v>
      </c>
      <c r="G1" s="272" t="s">
        <v>147</v>
      </c>
    </row>
    <row r="2" s="11" customFormat="1" ht="30.75" customHeight="1" spans="1:45">
      <c r="A2" s="273">
        <v>1</v>
      </c>
      <c r="B2" s="145" t="s">
        <v>762</v>
      </c>
      <c r="C2" s="200" t="s">
        <v>255</v>
      </c>
      <c r="D2" s="58" t="s">
        <v>256</v>
      </c>
      <c r="E2" s="274" t="s">
        <v>763</v>
      </c>
      <c r="F2" s="275">
        <v>0.0027</v>
      </c>
      <c r="G2" s="226" t="s">
        <v>214</v>
      </c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</row>
    <row r="3" s="11" customFormat="1" customHeight="1" spans="1:45">
      <c r="A3" s="139"/>
      <c r="B3" s="103"/>
      <c r="C3" s="200" t="s">
        <v>764</v>
      </c>
      <c r="D3" s="58" t="s">
        <v>256</v>
      </c>
      <c r="E3" s="276" t="s">
        <v>765</v>
      </c>
      <c r="F3" s="277" t="s">
        <v>766</v>
      </c>
      <c r="G3" s="226" t="s">
        <v>214</v>
      </c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</row>
    <row r="4" s="11" customFormat="1" ht="57" customHeight="1" spans="1:45">
      <c r="A4" s="139"/>
      <c r="B4" s="145" t="s">
        <v>767</v>
      </c>
      <c r="C4" s="200" t="s">
        <v>768</v>
      </c>
      <c r="D4" s="58" t="s">
        <v>769</v>
      </c>
      <c r="E4" s="276" t="s">
        <v>770</v>
      </c>
      <c r="F4" s="277" t="s">
        <v>226</v>
      </c>
      <c r="G4" s="227" t="s">
        <v>228</v>
      </c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  <c r="AS4" s="173"/>
    </row>
    <row r="5" s="11" customFormat="1" ht="30" customHeight="1" spans="1:45">
      <c r="A5" s="139"/>
      <c r="B5" s="103"/>
      <c r="C5" s="200" t="s">
        <v>764</v>
      </c>
      <c r="D5" s="58" t="s">
        <v>771</v>
      </c>
      <c r="E5" s="200" t="s">
        <v>772</v>
      </c>
      <c r="F5" s="278" t="s">
        <v>773</v>
      </c>
      <c r="G5" s="227" t="s">
        <v>228</v>
      </c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</row>
    <row r="6" s="11" customFormat="1" customHeight="1" spans="1:45">
      <c r="A6" s="139"/>
      <c r="B6" s="15" t="s">
        <v>774</v>
      </c>
      <c r="C6" s="227" t="s">
        <v>775</v>
      </c>
      <c r="D6" s="58" t="s">
        <v>256</v>
      </c>
      <c r="E6" s="200" t="s">
        <v>776</v>
      </c>
      <c r="F6" s="278" t="b">
        <v>0</v>
      </c>
      <c r="G6" s="226" t="s">
        <v>214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</row>
    <row r="7" s="11" customFormat="1" ht="31.5" customHeight="1" spans="1:45">
      <c r="A7" s="139"/>
      <c r="B7" s="145" t="s">
        <v>777</v>
      </c>
      <c r="C7" s="200" t="s">
        <v>768</v>
      </c>
      <c r="D7" s="58" t="s">
        <v>256</v>
      </c>
      <c r="E7" s="274" t="s">
        <v>778</v>
      </c>
      <c r="F7" s="275">
        <v>0.004</v>
      </c>
      <c r="G7" s="226" t="s">
        <v>214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</row>
    <row r="8" s="11" customFormat="1" customHeight="1" spans="1:45">
      <c r="A8" s="139"/>
      <c r="B8" s="103"/>
      <c r="C8" s="200" t="s">
        <v>764</v>
      </c>
      <c r="D8" s="58" t="s">
        <v>256</v>
      </c>
      <c r="E8" s="274" t="s">
        <v>779</v>
      </c>
      <c r="F8" s="275" t="s">
        <v>780</v>
      </c>
      <c r="G8" s="226" t="s">
        <v>214</v>
      </c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</row>
    <row r="9" s="11" customFormat="1" customHeight="1" spans="1:45">
      <c r="A9" s="127"/>
      <c r="B9" s="144" t="s">
        <v>781</v>
      </c>
      <c r="C9" s="238" t="s">
        <v>163</v>
      </c>
      <c r="D9" s="58" t="s">
        <v>256</v>
      </c>
      <c r="E9" s="211" t="s">
        <v>776</v>
      </c>
      <c r="F9" s="279" t="b">
        <v>0</v>
      </c>
      <c r="G9" s="226" t="s">
        <v>214</v>
      </c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</row>
    <row r="10" s="11" customFormat="1" customHeight="1" spans="1:45">
      <c r="A10" s="127"/>
      <c r="B10" s="280" t="s">
        <v>782</v>
      </c>
      <c r="C10" s="200" t="s">
        <v>768</v>
      </c>
      <c r="D10" s="58" t="s">
        <v>256</v>
      </c>
      <c r="E10" s="274" t="s">
        <v>783</v>
      </c>
      <c r="F10" s="275">
        <v>0</v>
      </c>
      <c r="G10" s="226" t="s">
        <v>233</v>
      </c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  <c r="AM10" s="173"/>
      <c r="AN10" s="173"/>
      <c r="AO10" s="173"/>
      <c r="AP10" s="173"/>
      <c r="AQ10" s="173"/>
      <c r="AR10" s="173"/>
      <c r="AS10" s="173"/>
    </row>
    <row r="11" s="11" customFormat="1" customHeight="1" spans="1:45">
      <c r="A11" s="127"/>
      <c r="B11" s="281"/>
      <c r="C11" s="211" t="s">
        <v>764</v>
      </c>
      <c r="D11" s="58" t="s">
        <v>256</v>
      </c>
      <c r="E11" s="282" t="s">
        <v>784</v>
      </c>
      <c r="F11" s="283" t="s">
        <v>785</v>
      </c>
      <c r="G11" s="226" t="s">
        <v>233</v>
      </c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</row>
    <row r="12" s="11" customFormat="1" customHeight="1" spans="1:45">
      <c r="A12" s="127"/>
      <c r="B12" s="284" t="s">
        <v>786</v>
      </c>
      <c r="C12" s="227" t="s">
        <v>163</v>
      </c>
      <c r="D12" s="58" t="s">
        <v>256</v>
      </c>
      <c r="E12" s="200" t="s">
        <v>787</v>
      </c>
      <c r="F12" s="278" t="b">
        <v>0</v>
      </c>
      <c r="G12" s="226" t="s">
        <v>233</v>
      </c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</row>
    <row r="13" s="11" customFormat="1" ht="31.5" customHeight="1" spans="1:45">
      <c r="A13" s="127"/>
      <c r="B13" s="280" t="s">
        <v>788</v>
      </c>
      <c r="C13" s="200" t="s">
        <v>768</v>
      </c>
      <c r="D13" s="58" t="s">
        <v>256</v>
      </c>
      <c r="E13" s="274" t="s">
        <v>763</v>
      </c>
      <c r="F13" s="275">
        <v>0.0027</v>
      </c>
      <c r="G13" s="226" t="s">
        <v>236</v>
      </c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</row>
    <row r="14" s="11" customFormat="1" customHeight="1" spans="1:45">
      <c r="A14" s="127"/>
      <c r="B14" s="281"/>
      <c r="C14" s="211" t="s">
        <v>764</v>
      </c>
      <c r="D14" s="58" t="s">
        <v>256</v>
      </c>
      <c r="E14" s="285" t="s">
        <v>789</v>
      </c>
      <c r="F14" s="277" t="s">
        <v>790</v>
      </c>
      <c r="G14" s="226" t="s">
        <v>236</v>
      </c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  <c r="AO14" s="173"/>
      <c r="AP14" s="173"/>
      <c r="AQ14" s="173"/>
      <c r="AR14" s="173"/>
      <c r="AS14" s="173"/>
    </row>
    <row r="15" s="11" customFormat="1" customHeight="1" spans="1:45">
      <c r="A15" s="103"/>
      <c r="B15" s="284" t="s">
        <v>791</v>
      </c>
      <c r="C15" s="227" t="s">
        <v>775</v>
      </c>
      <c r="D15" s="58" t="s">
        <v>295</v>
      </c>
      <c r="E15" s="200" t="s">
        <v>792</v>
      </c>
      <c r="F15" s="278" t="b">
        <v>1</v>
      </c>
      <c r="G15" s="226" t="s">
        <v>236</v>
      </c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</row>
    <row r="16" s="11" customFormat="1" customHeight="1" spans="1:45">
      <c r="A16" s="13"/>
      <c r="B16" s="286"/>
      <c r="C16" s="10"/>
      <c r="D16" s="10"/>
      <c r="E16" s="200"/>
      <c r="F16" s="58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  <c r="AM16" s="173"/>
      <c r="AN16" s="173"/>
      <c r="AO16" s="173"/>
      <c r="AP16" s="173"/>
      <c r="AQ16" s="173"/>
      <c r="AR16" s="173"/>
      <c r="AS16" s="173"/>
    </row>
    <row r="17" s="10" customFormat="1" customHeight="1" spans="1:45">
      <c r="A17" s="163"/>
      <c r="B17" s="163"/>
      <c r="C17" s="164"/>
      <c r="D17" s="164"/>
      <c r="E17" s="287"/>
      <c r="F17" s="288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235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</row>
    <row r="18" s="10" customFormat="1" customHeight="1" spans="1:45">
      <c r="A18" s="163"/>
      <c r="B18" s="163"/>
      <c r="C18" s="163"/>
      <c r="D18" s="163"/>
      <c r="E18" s="289"/>
      <c r="F18" s="21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235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</row>
    <row r="19" s="10" customFormat="1" customHeight="1" spans="1:45">
      <c r="A19" s="163"/>
      <c r="B19" s="163"/>
      <c r="C19" s="163"/>
      <c r="D19" s="163"/>
      <c r="E19" s="289"/>
      <c r="F19" s="21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235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</row>
    <row r="20" s="10" customFormat="1" customHeight="1" spans="1:45">
      <c r="A20" s="163"/>
      <c r="B20" s="163"/>
      <c r="C20" s="163"/>
      <c r="D20" s="163"/>
      <c r="E20" s="289"/>
      <c r="F20" s="21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235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</row>
    <row r="21" s="10" customFormat="1" customHeight="1" spans="1:45">
      <c r="A21" s="163"/>
      <c r="B21" s="163"/>
      <c r="C21" s="163"/>
      <c r="D21" s="163"/>
      <c r="E21" s="289"/>
      <c r="F21" s="21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235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</row>
    <row r="22" s="10" customFormat="1" ht="19.5" customHeight="1" spans="1:45">
      <c r="A22" s="163"/>
      <c r="B22" s="163"/>
      <c r="C22" s="163"/>
      <c r="D22" s="163"/>
      <c r="E22" s="290"/>
      <c r="F22" s="221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235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</row>
    <row r="23" s="10" customFormat="1" customHeight="1" spans="1:45">
      <c r="A23" s="163"/>
      <c r="B23" s="163"/>
      <c r="C23" s="163"/>
      <c r="D23" s="163"/>
      <c r="E23" s="289"/>
      <c r="F23" s="21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235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</row>
    <row r="24" s="10" customFormat="1" customHeight="1" spans="1:45">
      <c r="A24" s="163"/>
      <c r="B24" s="163"/>
      <c r="C24" s="163"/>
      <c r="D24" s="163"/>
      <c r="E24" s="289"/>
      <c r="F24" s="21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235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</row>
    <row r="25" s="10" customFormat="1" customHeight="1" spans="1:45">
      <c r="A25" s="163"/>
      <c r="B25" s="163"/>
      <c r="C25" s="163"/>
      <c r="D25" s="163"/>
      <c r="E25" s="290"/>
      <c r="F25" s="221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235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</row>
    <row r="26" s="10" customFormat="1" customHeight="1" spans="1:45">
      <c r="A26" s="163"/>
      <c r="B26" s="163"/>
      <c r="C26" s="163"/>
      <c r="D26" s="163"/>
      <c r="E26" s="289"/>
      <c r="F26" s="21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235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6"/>
      <c r="AN26" s="226"/>
      <c r="AO26" s="226"/>
      <c r="AP26" s="226"/>
      <c r="AQ26" s="226"/>
      <c r="AR26" s="226"/>
      <c r="AS26" s="226"/>
    </row>
    <row r="27" s="10" customFormat="1" customHeight="1" spans="1:45">
      <c r="A27" s="163"/>
      <c r="B27" s="163"/>
      <c r="C27" s="163"/>
      <c r="D27" s="163"/>
      <c r="E27" s="289"/>
      <c r="F27" s="21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235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26"/>
      <c r="AN27" s="226"/>
      <c r="AO27" s="226"/>
      <c r="AP27" s="226"/>
      <c r="AQ27" s="226"/>
      <c r="AR27" s="226"/>
      <c r="AS27" s="226"/>
    </row>
    <row r="28" s="10" customFormat="1" ht="15.75" customHeight="1" spans="1:45">
      <c r="A28" s="163"/>
      <c r="B28" s="163"/>
      <c r="C28" s="163"/>
      <c r="D28" s="163"/>
      <c r="E28" s="291"/>
      <c r="F28" s="291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235"/>
      <c r="V28" s="226"/>
      <c r="W28" s="226"/>
      <c r="X28" s="226"/>
      <c r="Y28" s="226"/>
      <c r="Z28" s="226"/>
      <c r="AA28" s="226"/>
      <c r="AB28" s="226"/>
      <c r="AC28" s="226"/>
      <c r="AD28" s="226"/>
      <c r="AE28" s="226"/>
      <c r="AF28" s="226"/>
      <c r="AG28" s="226"/>
      <c r="AH28" s="226"/>
      <c r="AI28" s="226"/>
      <c r="AJ28" s="226"/>
      <c r="AK28" s="226"/>
      <c r="AL28" s="226"/>
      <c r="AM28" s="226"/>
      <c r="AN28" s="226"/>
      <c r="AO28" s="226"/>
      <c r="AP28" s="226"/>
      <c r="AQ28" s="226"/>
      <c r="AR28" s="226"/>
      <c r="AS28" s="226"/>
    </row>
    <row r="29" s="10" customFormat="1" customHeight="1" spans="1:45">
      <c r="A29" s="163"/>
      <c r="B29" s="163"/>
      <c r="C29" s="163"/>
      <c r="D29" s="163"/>
      <c r="E29" s="291"/>
      <c r="F29" s="227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235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</row>
    <row r="30" s="11" customFormat="1" customHeight="1" spans="1:45">
      <c r="A30" s="226"/>
      <c r="B30" s="226"/>
      <c r="C30" s="226"/>
      <c r="D30" s="226"/>
      <c r="E30" s="291"/>
      <c r="F30" s="227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  <c r="AM30" s="173"/>
      <c r="AN30" s="173"/>
      <c r="AO30" s="173"/>
      <c r="AP30" s="173"/>
      <c r="AQ30" s="173"/>
      <c r="AR30" s="173"/>
      <c r="AS30" s="173"/>
    </row>
    <row r="31" s="11" customFormat="1" customHeight="1" spans="1:45">
      <c r="A31" s="226"/>
      <c r="B31" s="226"/>
      <c r="C31" s="226"/>
      <c r="D31" s="226"/>
      <c r="E31" s="291"/>
      <c r="F31" s="227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</row>
    <row r="32" s="11" customFormat="1" ht="27.75" customHeight="1" spans="1:45">
      <c r="A32" s="226"/>
      <c r="B32" s="163"/>
      <c r="C32" s="163"/>
      <c r="D32" s="226"/>
      <c r="E32" s="291"/>
      <c r="F32" s="227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  <c r="AM32" s="173"/>
      <c r="AN32" s="173"/>
      <c r="AO32" s="173"/>
      <c r="AP32" s="173"/>
      <c r="AQ32" s="173"/>
      <c r="AR32" s="173"/>
      <c r="AS32" s="173"/>
    </row>
    <row r="33" s="11" customFormat="1" customHeight="1" spans="1:45">
      <c r="A33" s="226"/>
      <c r="B33" s="163"/>
      <c r="C33" s="163"/>
      <c r="D33" s="226"/>
      <c r="E33" s="291"/>
      <c r="F33" s="227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  <c r="AM33" s="173"/>
      <c r="AN33" s="173"/>
      <c r="AO33" s="173"/>
      <c r="AP33" s="173"/>
      <c r="AQ33" s="173"/>
      <c r="AR33" s="173"/>
      <c r="AS33" s="173"/>
    </row>
    <row r="34" s="11" customFormat="1" customHeight="1" spans="1:45">
      <c r="A34" s="226"/>
      <c r="B34" s="226"/>
      <c r="C34" s="226"/>
      <c r="D34" s="226"/>
      <c r="E34" s="291"/>
      <c r="F34" s="227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73"/>
      <c r="AH34" s="173"/>
      <c r="AI34" s="173"/>
      <c r="AJ34" s="173"/>
      <c r="AK34" s="173"/>
      <c r="AL34" s="173"/>
      <c r="AM34" s="173"/>
      <c r="AN34" s="173"/>
      <c r="AO34" s="173"/>
      <c r="AP34" s="173"/>
      <c r="AQ34" s="173"/>
      <c r="AR34" s="173"/>
      <c r="AS34" s="173"/>
    </row>
    <row r="35" s="11" customFormat="1" customHeight="1" spans="1:45">
      <c r="A35" s="226"/>
      <c r="B35" s="226"/>
      <c r="C35" s="226"/>
      <c r="D35" s="226"/>
      <c r="E35" s="291"/>
      <c r="F35" s="227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</row>
    <row r="36" s="11" customFormat="1" customHeight="1" spans="1:45">
      <c r="A36" s="226"/>
      <c r="B36" s="226"/>
      <c r="C36" s="226"/>
      <c r="D36" s="226"/>
      <c r="E36" s="291"/>
      <c r="F36" s="227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  <c r="AP36" s="173"/>
      <c r="AQ36" s="173"/>
      <c r="AR36" s="173"/>
      <c r="AS36" s="173"/>
    </row>
    <row r="37" s="11" customFormat="1" customHeight="1" spans="1:45">
      <c r="A37" s="226"/>
      <c r="B37" s="226"/>
      <c r="C37" s="226"/>
      <c r="D37" s="226"/>
      <c r="E37" s="291"/>
      <c r="F37" s="227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  <c r="AM37" s="173"/>
      <c r="AN37" s="173"/>
      <c r="AO37" s="173"/>
      <c r="AP37" s="173"/>
      <c r="AQ37" s="173"/>
      <c r="AR37" s="173"/>
      <c r="AS37" s="173"/>
    </row>
    <row r="38" s="11" customFormat="1" customHeight="1" spans="1:45">
      <c r="A38" s="226"/>
      <c r="B38" s="226"/>
      <c r="C38" s="226"/>
      <c r="D38" s="226"/>
      <c r="E38" s="291"/>
      <c r="F38" s="227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</row>
    <row r="39" s="11" customFormat="1" customHeight="1" spans="1:45">
      <c r="A39" s="226"/>
      <c r="B39" s="226"/>
      <c r="C39" s="226"/>
      <c r="D39" s="226"/>
      <c r="E39" s="291"/>
      <c r="F39" s="227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  <c r="AM39" s="173"/>
      <c r="AN39" s="173"/>
      <c r="AO39" s="173"/>
      <c r="AP39" s="173"/>
      <c r="AQ39" s="173"/>
      <c r="AR39" s="173"/>
      <c r="AS39" s="173"/>
    </row>
    <row r="40" s="11" customFormat="1" ht="26.25" customHeight="1" spans="1:45">
      <c r="A40" s="163"/>
      <c r="B40" s="163"/>
      <c r="C40" s="163"/>
      <c r="D40" s="163"/>
      <c r="E40" s="292"/>
      <c r="F40" s="163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237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</row>
    <row r="41" s="11" customFormat="1" customHeight="1" spans="1:45">
      <c r="A41" s="163"/>
      <c r="B41" s="163"/>
      <c r="C41" s="163"/>
      <c r="D41" s="163"/>
      <c r="E41" s="292"/>
      <c r="F41" s="163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237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</row>
    <row r="42" s="11" customFormat="1" customHeight="1" spans="1:45">
      <c r="A42" s="163"/>
      <c r="B42" s="163"/>
      <c r="C42" s="163"/>
      <c r="D42" s="163"/>
      <c r="E42" s="292"/>
      <c r="F42" s="163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237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</row>
    <row r="43" s="11" customFormat="1" customHeight="1" spans="1:45">
      <c r="A43" s="163"/>
      <c r="B43" s="163"/>
      <c r="C43" s="163"/>
      <c r="D43" s="163"/>
      <c r="E43" s="292"/>
      <c r="F43" s="163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237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</row>
    <row r="44" s="11" customFormat="1" customHeight="1" spans="1:45">
      <c r="A44" s="163"/>
      <c r="B44" s="163"/>
      <c r="C44" s="163"/>
      <c r="D44" s="163"/>
      <c r="E44" s="292"/>
      <c r="F44" s="163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237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</row>
    <row r="45" s="11" customFormat="1" customHeight="1" spans="1:45">
      <c r="A45" s="163"/>
      <c r="B45" s="163"/>
      <c r="C45" s="163"/>
      <c r="D45" s="163"/>
      <c r="E45" s="292"/>
      <c r="F45" s="163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237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</row>
    <row r="46" s="11" customFormat="1" customHeight="1" spans="1:45">
      <c r="A46" s="163"/>
      <c r="B46" s="163"/>
      <c r="C46" s="163"/>
      <c r="D46" s="163"/>
      <c r="E46" s="292"/>
      <c r="F46" s="163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237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</row>
    <row r="47" s="11" customFormat="1" customHeight="1" spans="1:45">
      <c r="A47" s="163"/>
      <c r="B47" s="163"/>
      <c r="C47" s="163"/>
      <c r="D47" s="163"/>
      <c r="E47" s="292"/>
      <c r="F47" s="163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237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</row>
    <row r="48" s="11" customFormat="1" customHeight="1" spans="1:45">
      <c r="A48" s="163"/>
      <c r="B48" s="163"/>
      <c r="C48" s="163"/>
      <c r="D48" s="163"/>
      <c r="E48" s="292"/>
      <c r="F48" s="163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237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</row>
    <row r="49" s="11" customFormat="1" ht="38.25" customHeight="1" spans="1:45">
      <c r="A49" s="226"/>
      <c r="B49" s="226"/>
      <c r="C49" s="226"/>
      <c r="D49" s="226"/>
      <c r="E49" s="291"/>
      <c r="F49" s="227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3"/>
      <c r="AP49" s="173"/>
      <c r="AQ49" s="173"/>
      <c r="AR49" s="173"/>
      <c r="AS49" s="173"/>
    </row>
    <row r="50" s="11" customFormat="1" customHeight="1" spans="1:45">
      <c r="A50" s="226"/>
      <c r="B50" s="226"/>
      <c r="C50" s="226"/>
      <c r="D50" s="226"/>
      <c r="E50" s="291"/>
      <c r="F50" s="227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3"/>
      <c r="AI50" s="173"/>
      <c r="AJ50" s="173"/>
      <c r="AK50" s="173"/>
      <c r="AL50" s="173"/>
      <c r="AM50" s="173"/>
      <c r="AN50" s="173"/>
      <c r="AO50" s="173"/>
      <c r="AP50" s="173"/>
      <c r="AQ50" s="173"/>
      <c r="AR50" s="173"/>
      <c r="AS50" s="173"/>
    </row>
    <row r="51" s="11" customFormat="1" ht="32.25" customHeight="1" spans="1:45">
      <c r="A51" s="226"/>
      <c r="B51" s="226"/>
      <c r="C51" s="226"/>
      <c r="D51" s="226"/>
      <c r="E51" s="291"/>
      <c r="F51" s="227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/>
      <c r="AH51" s="173"/>
      <c r="AI51" s="173"/>
      <c r="AJ51" s="173"/>
      <c r="AK51" s="173"/>
      <c r="AL51" s="173"/>
      <c r="AM51" s="173"/>
      <c r="AN51" s="173"/>
      <c r="AO51" s="173"/>
      <c r="AP51" s="173"/>
      <c r="AQ51" s="173"/>
      <c r="AR51" s="173"/>
      <c r="AS51" s="173"/>
    </row>
    <row r="52" s="11" customFormat="1" customHeight="1" spans="1:45">
      <c r="A52" s="226"/>
      <c r="B52" s="226"/>
      <c r="C52" s="226"/>
      <c r="D52" s="226"/>
      <c r="E52" s="291"/>
      <c r="F52" s="227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3"/>
      <c r="AI52" s="173"/>
      <c r="AJ52" s="173"/>
      <c r="AK52" s="173"/>
      <c r="AL52" s="173"/>
      <c r="AM52" s="173"/>
      <c r="AN52" s="173"/>
      <c r="AO52" s="173"/>
      <c r="AP52" s="173"/>
      <c r="AQ52" s="173"/>
      <c r="AR52" s="173"/>
      <c r="AS52" s="173"/>
    </row>
    <row r="53" s="11" customFormat="1" ht="48" customHeight="1" spans="1:45">
      <c r="A53" s="226"/>
      <c r="B53" s="226"/>
      <c r="C53" s="226"/>
      <c r="D53" s="226"/>
      <c r="E53" s="291"/>
      <c r="F53" s="227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  <c r="AL53" s="173"/>
      <c r="AM53" s="173"/>
      <c r="AN53" s="173"/>
      <c r="AO53" s="173"/>
      <c r="AP53" s="173"/>
      <c r="AQ53" s="173"/>
      <c r="AR53" s="173"/>
      <c r="AS53" s="173"/>
    </row>
    <row r="54" s="11" customFormat="1" customHeight="1" spans="1:45">
      <c r="A54" s="226"/>
      <c r="B54" s="226"/>
      <c r="C54" s="226"/>
      <c r="D54" s="226"/>
      <c r="E54" s="291"/>
      <c r="F54" s="227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  <c r="AG54" s="173"/>
      <c r="AH54" s="173"/>
      <c r="AI54" s="173"/>
      <c r="AJ54" s="173"/>
      <c r="AK54" s="173"/>
      <c r="AL54" s="173"/>
      <c r="AM54" s="173"/>
      <c r="AN54" s="173"/>
      <c r="AO54" s="173"/>
      <c r="AP54" s="173"/>
      <c r="AQ54" s="173"/>
      <c r="AR54" s="173"/>
      <c r="AS54" s="173"/>
    </row>
    <row r="55" s="11" customFormat="1" ht="48.75" customHeight="1" spans="1:45">
      <c r="A55" s="226"/>
      <c r="B55" s="226"/>
      <c r="C55" s="226"/>
      <c r="D55" s="226"/>
      <c r="E55" s="291"/>
      <c r="F55" s="227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/>
      <c r="AH55" s="173"/>
      <c r="AI55" s="173"/>
      <c r="AJ55" s="173"/>
      <c r="AK55" s="173"/>
      <c r="AL55" s="173"/>
      <c r="AM55" s="173"/>
      <c r="AN55" s="173"/>
      <c r="AO55" s="173"/>
      <c r="AP55" s="173"/>
      <c r="AQ55" s="173"/>
      <c r="AR55" s="173"/>
      <c r="AS55" s="173"/>
    </row>
    <row r="56" s="11" customFormat="1" customHeight="1" spans="1:45">
      <c r="A56" s="226"/>
      <c r="B56" s="226"/>
      <c r="C56" s="226"/>
      <c r="D56" s="226"/>
      <c r="E56" s="291"/>
      <c r="F56" s="227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73"/>
      <c r="AF56" s="173"/>
      <c r="AG56" s="173"/>
      <c r="AH56" s="173"/>
      <c r="AI56" s="173"/>
      <c r="AJ56" s="173"/>
      <c r="AK56" s="173"/>
      <c r="AL56" s="173"/>
      <c r="AM56" s="173"/>
      <c r="AN56" s="173"/>
      <c r="AO56" s="173"/>
      <c r="AP56" s="173"/>
      <c r="AQ56" s="173"/>
      <c r="AR56" s="173"/>
      <c r="AS56" s="173"/>
    </row>
    <row r="57" customHeight="1" spans="1:6">
      <c r="A57" s="144"/>
      <c r="B57" s="144"/>
      <c r="C57" s="144"/>
      <c r="D57" s="144"/>
      <c r="E57" s="293"/>
      <c r="F57" s="294"/>
    </row>
    <row r="58" customHeight="1" spans="1:6">
      <c r="A58" s="15"/>
      <c r="B58" s="15"/>
      <c r="C58" s="15"/>
      <c r="D58" s="15"/>
      <c r="E58" s="295"/>
      <c r="F58" s="296"/>
    </row>
    <row r="59" customHeight="1" spans="1:6">
      <c r="A59" s="15"/>
      <c r="B59" s="15"/>
      <c r="C59" s="15"/>
      <c r="D59" s="15"/>
      <c r="E59" s="295"/>
      <c r="F59" s="296"/>
    </row>
    <row r="60" customHeight="1" spans="1:6">
      <c r="A60" s="15"/>
      <c r="B60" s="15"/>
      <c r="C60" s="15"/>
      <c r="D60" s="15"/>
      <c r="E60" s="295"/>
      <c r="F60" s="296"/>
    </row>
    <row r="61" customHeight="1" spans="1:6">
      <c r="A61" s="15"/>
      <c r="B61" s="15"/>
      <c r="C61" s="15"/>
      <c r="D61" s="15"/>
      <c r="E61" s="295"/>
      <c r="F61" s="296"/>
    </row>
    <row r="62" customHeight="1" spans="1:6">
      <c r="A62" s="15"/>
      <c r="B62" s="15"/>
      <c r="C62" s="15"/>
      <c r="D62" s="15"/>
      <c r="E62" s="295"/>
      <c r="F62" s="296"/>
    </row>
    <row r="63" customHeight="1" spans="1:6">
      <c r="A63" s="15"/>
      <c r="B63" s="15"/>
      <c r="C63" s="15"/>
      <c r="D63" s="15"/>
      <c r="E63" s="295"/>
      <c r="F63" s="296"/>
    </row>
    <row r="64" customHeight="1" spans="1:6">
      <c r="A64" s="15"/>
      <c r="B64" s="15"/>
      <c r="C64" s="15"/>
      <c r="D64" s="15"/>
      <c r="E64" s="295"/>
      <c r="F64" s="296"/>
    </row>
    <row r="65" customHeight="1" spans="1:6">
      <c r="A65" s="15"/>
      <c r="B65" s="15"/>
      <c r="C65" s="15"/>
      <c r="D65" s="15"/>
      <c r="E65" s="295"/>
      <c r="F65" s="296"/>
    </row>
    <row r="66" customHeight="1" spans="1:6">
      <c r="A66" s="15"/>
      <c r="B66" s="15"/>
      <c r="C66" s="15"/>
      <c r="D66" s="15"/>
      <c r="E66" s="295"/>
      <c r="F66" s="296"/>
    </row>
    <row r="67" customHeight="1" spans="1:6">
      <c r="A67" s="15"/>
      <c r="B67" s="15"/>
      <c r="C67" s="15"/>
      <c r="D67" s="15"/>
      <c r="E67" s="295"/>
      <c r="F67" s="296"/>
    </row>
    <row r="68" customHeight="1" spans="1:6">
      <c r="A68" s="15"/>
      <c r="B68" s="15"/>
      <c r="C68" s="15"/>
      <c r="D68" s="15"/>
      <c r="E68" s="295"/>
      <c r="F68" s="296"/>
    </row>
    <row r="69" customHeight="1" spans="1:6">
      <c r="A69" s="15"/>
      <c r="B69" s="15"/>
      <c r="C69" s="15"/>
      <c r="D69" s="15"/>
      <c r="E69" s="295"/>
      <c r="F69" s="296"/>
    </row>
    <row r="70" customHeight="1" spans="1:6">
      <c r="A70" s="15"/>
      <c r="B70" s="15"/>
      <c r="C70" s="15"/>
      <c r="D70" s="15"/>
      <c r="E70" s="295"/>
      <c r="F70" s="296"/>
    </row>
    <row r="71" customHeight="1" spans="1:6">
      <c r="A71" s="15"/>
      <c r="B71" s="15"/>
      <c r="C71" s="15"/>
      <c r="D71" s="15"/>
      <c r="E71" s="295"/>
      <c r="F71" s="296"/>
    </row>
    <row r="72" customHeight="1" spans="1:6">
      <c r="A72" s="15"/>
      <c r="B72" s="15"/>
      <c r="C72" s="15"/>
      <c r="D72" s="15"/>
      <c r="E72" s="295"/>
      <c r="F72" s="296"/>
    </row>
    <row r="73" customHeight="1" spans="1:6">
      <c r="A73" s="15"/>
      <c r="B73" s="15"/>
      <c r="C73" s="15"/>
      <c r="D73" s="15"/>
      <c r="E73" s="295"/>
      <c r="F73" s="296"/>
    </row>
    <row r="74" customHeight="1" spans="1:6">
      <c r="A74" s="15"/>
      <c r="B74" s="15"/>
      <c r="C74" s="15"/>
      <c r="D74" s="15"/>
      <c r="E74" s="295"/>
      <c r="F74" s="296"/>
    </row>
    <row r="75" customHeight="1" spans="1:6">
      <c r="A75" s="15"/>
      <c r="B75" s="15"/>
      <c r="C75" s="15"/>
      <c r="D75" s="15"/>
      <c r="E75" s="295"/>
      <c r="F75" s="296"/>
    </row>
    <row r="76" customHeight="1" spans="1:6">
      <c r="A76" s="15"/>
      <c r="B76" s="15"/>
      <c r="C76" s="15"/>
      <c r="D76" s="15"/>
      <c r="E76" s="295"/>
      <c r="F76" s="296"/>
    </row>
    <row r="77" customHeight="1" spans="1:6">
      <c r="A77" s="15"/>
      <c r="B77" s="15"/>
      <c r="C77" s="15"/>
      <c r="D77" s="15"/>
      <c r="E77" s="295"/>
      <c r="F77" s="296"/>
    </row>
    <row r="78" customHeight="1" spans="1:6">
      <c r="A78" s="15"/>
      <c r="B78" s="15"/>
      <c r="C78" s="15"/>
      <c r="D78" s="15"/>
      <c r="E78" s="295"/>
      <c r="F78" s="296"/>
    </row>
    <row r="79" customHeight="1" spans="1:6">
      <c r="A79" s="15"/>
      <c r="B79" s="15"/>
      <c r="C79" s="15"/>
      <c r="D79" s="15"/>
      <c r="E79" s="295"/>
      <c r="F79" s="296"/>
    </row>
    <row r="80" customHeight="1" spans="1:6">
      <c r="A80" s="15"/>
      <c r="B80" s="15"/>
      <c r="C80" s="15"/>
      <c r="D80" s="15"/>
      <c r="E80" s="295"/>
      <c r="F80" s="296"/>
    </row>
    <row r="81" customHeight="1" spans="1:6">
      <c r="A81" s="15"/>
      <c r="B81" s="15"/>
      <c r="C81" s="15"/>
      <c r="D81" s="15"/>
      <c r="E81" s="295"/>
      <c r="F81" s="296"/>
    </row>
    <row r="82" customHeight="1" spans="1:6">
      <c r="A82" s="15"/>
      <c r="B82" s="15"/>
      <c r="C82" s="15"/>
      <c r="D82" s="15"/>
      <c r="E82" s="295"/>
      <c r="F82" s="296"/>
    </row>
    <row r="83" customHeight="1" spans="1:6">
      <c r="A83" s="15"/>
      <c r="B83" s="15"/>
      <c r="C83" s="15"/>
      <c r="D83" s="15"/>
      <c r="E83" s="295"/>
      <c r="F83" s="296"/>
    </row>
    <row r="84" customHeight="1" spans="1:6">
      <c r="A84" s="15"/>
      <c r="B84" s="15"/>
      <c r="C84" s="15"/>
      <c r="D84" s="15"/>
      <c r="E84" s="295"/>
      <c r="F84" s="296"/>
    </row>
    <row r="85" customHeight="1" spans="1:6">
      <c r="A85" s="15"/>
      <c r="B85" s="15"/>
      <c r="C85" s="15"/>
      <c r="D85" s="15"/>
      <c r="E85" s="295"/>
      <c r="F85" s="296"/>
    </row>
    <row r="86" customHeight="1" spans="1:6">
      <c r="A86" s="15"/>
      <c r="B86" s="15"/>
      <c r="C86" s="15"/>
      <c r="D86" s="15"/>
      <c r="E86" s="295"/>
      <c r="F86" s="296"/>
    </row>
    <row r="87" customHeight="1" spans="1:6">
      <c r="A87" s="15"/>
      <c r="B87" s="15"/>
      <c r="C87" s="15"/>
      <c r="D87" s="15"/>
      <c r="E87" s="295"/>
      <c r="F87" s="296"/>
    </row>
    <row r="88" customHeight="1" spans="1:6">
      <c r="A88" s="15"/>
      <c r="B88" s="15"/>
      <c r="C88" s="15"/>
      <c r="D88" s="15"/>
      <c r="E88" s="295"/>
      <c r="F88" s="296"/>
    </row>
    <row r="89" customHeight="1" spans="1:6">
      <c r="A89" s="15"/>
      <c r="B89" s="15"/>
      <c r="C89" s="15"/>
      <c r="D89" s="15"/>
      <c r="E89" s="295"/>
      <c r="F89" s="296"/>
    </row>
    <row r="90" customHeight="1" spans="1:6">
      <c r="A90" s="15"/>
      <c r="B90" s="15"/>
      <c r="C90" s="15"/>
      <c r="D90" s="15"/>
      <c r="E90" s="295"/>
      <c r="F90" s="296"/>
    </row>
    <row r="91" customHeight="1" spans="1:6">
      <c r="A91" s="15"/>
      <c r="B91" s="15"/>
      <c r="C91" s="15"/>
      <c r="D91" s="15"/>
      <c r="E91" s="295"/>
      <c r="F91" s="296"/>
    </row>
    <row r="92" customHeight="1" spans="1:6">
      <c r="A92" s="15"/>
      <c r="B92" s="15"/>
      <c r="C92" s="15"/>
      <c r="D92" s="15"/>
      <c r="E92" s="295"/>
      <c r="F92" s="296"/>
    </row>
    <row r="93" customHeight="1" spans="1:6">
      <c r="A93" s="15"/>
      <c r="B93" s="15"/>
      <c r="C93" s="15"/>
      <c r="D93" s="15"/>
      <c r="E93" s="295"/>
      <c r="F93" s="296"/>
    </row>
    <row r="94" customHeight="1" spans="1:6">
      <c r="A94" s="15"/>
      <c r="B94" s="15"/>
      <c r="C94" s="15"/>
      <c r="D94" s="15"/>
      <c r="E94" s="295"/>
      <c r="F94" s="296"/>
    </row>
    <row r="95" customHeight="1" spans="1:6">
      <c r="A95" s="15"/>
      <c r="B95" s="15"/>
      <c r="C95" s="15"/>
      <c r="D95" s="15"/>
      <c r="E95" s="295"/>
      <c r="F95" s="296"/>
    </row>
    <row r="96" customHeight="1" spans="1:6">
      <c r="A96" s="15"/>
      <c r="B96" s="15"/>
      <c r="C96" s="15"/>
      <c r="D96" s="15"/>
      <c r="E96" s="295"/>
      <c r="F96" s="296"/>
    </row>
    <row r="97" customHeight="1" spans="1:6">
      <c r="A97" s="15"/>
      <c r="B97" s="15"/>
      <c r="C97" s="15"/>
      <c r="D97" s="15"/>
      <c r="E97" s="295"/>
      <c r="F97" s="296"/>
    </row>
    <row r="98" customHeight="1" spans="1:6">
      <c r="A98" s="15"/>
      <c r="B98" s="15"/>
      <c r="C98" s="15"/>
      <c r="D98" s="15"/>
      <c r="E98" s="295"/>
      <c r="F98" s="296"/>
    </row>
    <row r="99" customHeight="1" spans="1:6">
      <c r="A99" s="15"/>
      <c r="B99" s="15"/>
      <c r="C99" s="15"/>
      <c r="D99" s="15"/>
      <c r="E99" s="295"/>
      <c r="F99" s="296"/>
    </row>
    <row r="100" customHeight="1" spans="1:6">
      <c r="A100" s="15"/>
      <c r="B100" s="15"/>
      <c r="C100" s="15"/>
      <c r="D100" s="15"/>
      <c r="E100" s="295"/>
      <c r="F100" s="296"/>
    </row>
    <row r="101" customHeight="1" spans="1:6">
      <c r="A101" s="15"/>
      <c r="B101" s="15"/>
      <c r="C101" s="15"/>
      <c r="D101" s="15"/>
      <c r="E101" s="295"/>
      <c r="F101" s="296"/>
    </row>
    <row r="102" customHeight="1" spans="1:6">
      <c r="A102" s="15"/>
      <c r="B102" s="15"/>
      <c r="C102" s="15"/>
      <c r="D102" s="15"/>
      <c r="E102" s="295"/>
      <c r="F102" s="296"/>
    </row>
    <row r="103" customHeight="1" spans="1:6">
      <c r="A103" s="15"/>
      <c r="B103" s="15"/>
      <c r="C103" s="15"/>
      <c r="D103" s="15"/>
      <c r="E103" s="295"/>
      <c r="F103" s="296"/>
    </row>
    <row r="104" customHeight="1" spans="1:6">
      <c r="A104" s="15"/>
      <c r="B104" s="15"/>
      <c r="C104" s="15"/>
      <c r="D104" s="15"/>
      <c r="E104" s="295"/>
      <c r="F104" s="296"/>
    </row>
    <row r="105" customHeight="1" spans="1:6">
      <c r="A105" s="15"/>
      <c r="B105" s="15"/>
      <c r="C105" s="15"/>
      <c r="D105" s="15"/>
      <c r="E105" s="295"/>
      <c r="F105" s="296"/>
    </row>
    <row r="106" customHeight="1" spans="1:6">
      <c r="A106" s="15"/>
      <c r="B106" s="15"/>
      <c r="C106" s="15"/>
      <c r="D106" s="15"/>
      <c r="E106" s="295"/>
      <c r="F106" s="296"/>
    </row>
    <row r="107" customHeight="1" spans="1:6">
      <c r="A107" s="15"/>
      <c r="B107" s="15"/>
      <c r="C107" s="15"/>
      <c r="D107" s="15"/>
      <c r="E107" s="295"/>
      <c r="F107" s="296"/>
    </row>
    <row r="108" customHeight="1" spans="1:6">
      <c r="A108" s="15"/>
      <c r="B108" s="15"/>
      <c r="C108" s="15"/>
      <c r="D108" s="15"/>
      <c r="E108" s="295"/>
      <c r="F108" s="296"/>
    </row>
    <row r="109" customHeight="1" spans="1:6">
      <c r="A109" s="15"/>
      <c r="B109" s="15"/>
      <c r="C109" s="15"/>
      <c r="D109" s="15"/>
      <c r="E109" s="295"/>
      <c r="F109" s="296"/>
    </row>
    <row r="110" customHeight="1" spans="1:6">
      <c r="A110" s="15"/>
      <c r="B110" s="15"/>
      <c r="C110" s="15"/>
      <c r="D110" s="15"/>
      <c r="E110" s="295"/>
      <c r="F110" s="296"/>
    </row>
    <row r="111" customHeight="1" spans="1:6">
      <c r="A111" s="15"/>
      <c r="B111" s="15"/>
      <c r="C111" s="15"/>
      <c r="D111" s="15"/>
      <c r="E111" s="295"/>
      <c r="F111" s="296"/>
    </row>
    <row r="112" customHeight="1" spans="1:6">
      <c r="A112" s="15"/>
      <c r="B112" s="15"/>
      <c r="C112" s="15"/>
      <c r="D112" s="15"/>
      <c r="E112" s="295"/>
      <c r="F112" s="296"/>
    </row>
    <row r="113" customHeight="1" spans="1:6">
      <c r="A113" s="15"/>
      <c r="B113" s="15"/>
      <c r="C113" s="15"/>
      <c r="D113" s="15"/>
      <c r="E113" s="295"/>
      <c r="F113" s="296"/>
    </row>
    <row r="114" customHeight="1" spans="1:6">
      <c r="A114" s="15"/>
      <c r="B114" s="15"/>
      <c r="C114" s="15"/>
      <c r="D114" s="15"/>
      <c r="E114" s="295"/>
      <c r="F114" s="296"/>
    </row>
    <row r="115" customHeight="1" spans="1:6">
      <c r="A115" s="15"/>
      <c r="B115" s="15"/>
      <c r="C115" s="15"/>
      <c r="D115" s="15"/>
      <c r="E115" s="295"/>
      <c r="F115" s="296"/>
    </row>
    <row r="116" customHeight="1" spans="1:6">
      <c r="A116" s="15"/>
      <c r="B116" s="15"/>
      <c r="C116" s="15"/>
      <c r="D116" s="15"/>
      <c r="E116" s="295"/>
      <c r="F116" s="296"/>
    </row>
    <row r="117" customHeight="1" spans="1:6">
      <c r="A117" s="15"/>
      <c r="B117" s="15"/>
      <c r="C117" s="15"/>
      <c r="D117" s="15"/>
      <c r="E117" s="295"/>
      <c r="F117" s="296"/>
    </row>
    <row r="118" customHeight="1" spans="1:6">
      <c r="A118" s="15"/>
      <c r="B118" s="15"/>
      <c r="C118" s="15"/>
      <c r="D118" s="15"/>
      <c r="E118" s="295"/>
      <c r="F118" s="296"/>
    </row>
    <row r="119" customHeight="1" spans="1:6">
      <c r="A119" s="15"/>
      <c r="B119" s="15"/>
      <c r="C119" s="15"/>
      <c r="D119" s="15"/>
      <c r="E119" s="295"/>
      <c r="F119" s="296"/>
    </row>
    <row r="120" customHeight="1" spans="1:6">
      <c r="A120" s="15"/>
      <c r="B120" s="15"/>
      <c r="C120" s="15"/>
      <c r="D120" s="15"/>
      <c r="E120" s="295"/>
      <c r="F120" s="296"/>
    </row>
    <row r="121" customHeight="1" spans="1:6">
      <c r="A121" s="15"/>
      <c r="B121" s="15"/>
      <c r="C121" s="15"/>
      <c r="D121" s="15"/>
      <c r="E121" s="295"/>
      <c r="F121" s="296"/>
    </row>
    <row r="122" customHeight="1" spans="1:6">
      <c r="A122" s="15"/>
      <c r="B122" s="15"/>
      <c r="C122" s="15"/>
      <c r="D122" s="15"/>
      <c r="E122" s="295"/>
      <c r="F122" s="296"/>
    </row>
    <row r="123" customHeight="1" spans="1:6">
      <c r="A123" s="15"/>
      <c r="B123" s="15"/>
      <c r="C123" s="15"/>
      <c r="D123" s="15"/>
      <c r="E123" s="295"/>
      <c r="F123" s="296"/>
    </row>
    <row r="124" customHeight="1" spans="1:6">
      <c r="A124" s="15"/>
      <c r="B124" s="15"/>
      <c r="C124" s="15"/>
      <c r="D124" s="15"/>
      <c r="E124" s="295"/>
      <c r="F124" s="296"/>
    </row>
    <row r="125" customHeight="1" spans="1:6">
      <c r="A125" s="15"/>
      <c r="B125" s="15"/>
      <c r="C125" s="15"/>
      <c r="D125" s="15"/>
      <c r="E125" s="295"/>
      <c r="F125" s="296"/>
    </row>
    <row r="126" customHeight="1" spans="1:6">
      <c r="A126" s="15"/>
      <c r="B126" s="15"/>
      <c r="C126" s="15"/>
      <c r="D126" s="15"/>
      <c r="E126" s="295"/>
      <c r="F126" s="296"/>
    </row>
    <row r="127" customHeight="1" spans="1:6">
      <c r="A127" s="15"/>
      <c r="B127" s="15"/>
      <c r="C127" s="15"/>
      <c r="D127" s="15"/>
      <c r="E127" s="295"/>
      <c r="F127" s="296"/>
    </row>
    <row r="128" customHeight="1" spans="1:6">
      <c r="A128" s="15"/>
      <c r="B128" s="15"/>
      <c r="C128" s="15"/>
      <c r="D128" s="15"/>
      <c r="E128" s="295"/>
      <c r="F128" s="296"/>
    </row>
    <row r="129" customHeight="1" spans="1:6">
      <c r="A129" s="15"/>
      <c r="B129" s="15"/>
      <c r="C129" s="15"/>
      <c r="D129" s="15"/>
      <c r="E129" s="295"/>
      <c r="F129" s="296"/>
    </row>
    <row r="130" customHeight="1" spans="1:6">
      <c r="A130" s="15"/>
      <c r="B130" s="15"/>
      <c r="C130" s="15"/>
      <c r="D130" s="15"/>
      <c r="E130" s="295"/>
      <c r="F130" s="296"/>
    </row>
    <row r="131" customHeight="1" spans="1:6">
      <c r="A131" s="15"/>
      <c r="B131" s="15"/>
      <c r="C131" s="15"/>
      <c r="D131" s="15"/>
      <c r="E131" s="295"/>
      <c r="F131" s="296"/>
    </row>
    <row r="132" customHeight="1" spans="1:6">
      <c r="A132" s="15"/>
      <c r="B132" s="15"/>
      <c r="C132" s="15"/>
      <c r="D132" s="15"/>
      <c r="E132" s="295"/>
      <c r="F132" s="296"/>
    </row>
    <row r="133" customHeight="1" spans="1:6">
      <c r="A133" s="15"/>
      <c r="B133" s="15"/>
      <c r="C133" s="15"/>
      <c r="D133" s="15"/>
      <c r="E133" s="295"/>
      <c r="F133" s="296"/>
    </row>
    <row r="134" customHeight="1" spans="1:6">
      <c r="A134" s="15"/>
      <c r="B134" s="15"/>
      <c r="C134" s="15"/>
      <c r="D134" s="15"/>
      <c r="E134" s="295"/>
      <c r="F134" s="296"/>
    </row>
    <row r="135" customHeight="1" spans="1:6">
      <c r="A135" s="15"/>
      <c r="B135" s="15"/>
      <c r="C135" s="15"/>
      <c r="D135" s="15"/>
      <c r="E135" s="295"/>
      <c r="F135" s="296"/>
    </row>
    <row r="136" customHeight="1" spans="1:6">
      <c r="A136" s="15"/>
      <c r="B136" s="15"/>
      <c r="C136" s="15"/>
      <c r="D136" s="15"/>
      <c r="E136" s="295"/>
      <c r="F136" s="296"/>
    </row>
    <row r="137" customHeight="1" spans="1:6">
      <c r="A137" s="15"/>
      <c r="B137" s="15"/>
      <c r="C137" s="15"/>
      <c r="D137" s="15"/>
      <c r="E137" s="295"/>
      <c r="F137" s="296"/>
    </row>
    <row r="138" customHeight="1" spans="1:6">
      <c r="A138" s="15"/>
      <c r="B138" s="15"/>
      <c r="C138" s="15"/>
      <c r="D138" s="15"/>
      <c r="E138" s="295"/>
      <c r="F138" s="296"/>
    </row>
    <row r="139" customHeight="1" spans="1:6">
      <c r="A139" s="15"/>
      <c r="B139" s="15"/>
      <c r="C139" s="15"/>
      <c r="D139" s="15"/>
      <c r="E139" s="295"/>
      <c r="F139" s="296"/>
    </row>
    <row r="140" customHeight="1" spans="1:6">
      <c r="A140" s="15"/>
      <c r="B140" s="15"/>
      <c r="C140" s="15"/>
      <c r="D140" s="15"/>
      <c r="E140" s="295"/>
      <c r="F140" s="296"/>
    </row>
    <row r="141" customHeight="1" spans="1:6">
      <c r="A141" s="15"/>
      <c r="B141" s="15"/>
      <c r="C141" s="15"/>
      <c r="D141" s="15"/>
      <c r="E141" s="295"/>
      <c r="F141" s="296"/>
    </row>
    <row r="142" customHeight="1" spans="1:6">
      <c r="A142" s="15"/>
      <c r="B142" s="15"/>
      <c r="C142" s="15"/>
      <c r="D142" s="15"/>
      <c r="E142" s="295"/>
      <c r="F142" s="296"/>
    </row>
    <row r="143" customHeight="1" spans="1:6">
      <c r="A143" s="15"/>
      <c r="B143" s="15"/>
      <c r="C143" s="15"/>
      <c r="D143" s="15"/>
      <c r="E143" s="295"/>
      <c r="F143" s="296"/>
    </row>
    <row r="144" customHeight="1" spans="1:6">
      <c r="A144" s="15"/>
      <c r="B144" s="15"/>
      <c r="C144" s="15"/>
      <c r="D144" s="15"/>
      <c r="E144" s="295"/>
      <c r="F144" s="296"/>
    </row>
    <row r="145" customHeight="1" spans="1:6">
      <c r="A145" s="15"/>
      <c r="B145" s="15"/>
      <c r="C145" s="15"/>
      <c r="D145" s="15"/>
      <c r="E145" s="295"/>
      <c r="F145" s="296"/>
    </row>
    <row r="146" customHeight="1" spans="1:6">
      <c r="A146" s="15"/>
      <c r="B146" s="15"/>
      <c r="C146" s="15"/>
      <c r="D146" s="15"/>
      <c r="E146" s="295"/>
      <c r="F146" s="296"/>
    </row>
    <row r="147" customHeight="1" spans="1:6">
      <c r="A147" s="15"/>
      <c r="B147" s="15"/>
      <c r="C147" s="15"/>
      <c r="D147" s="15"/>
      <c r="E147" s="295"/>
      <c r="F147" s="296"/>
    </row>
    <row r="148" customHeight="1" spans="1:6">
      <c r="A148" s="15"/>
      <c r="B148" s="15"/>
      <c r="C148" s="15"/>
      <c r="D148" s="15"/>
      <c r="E148" s="295"/>
      <c r="F148" s="296"/>
    </row>
    <row r="149" customHeight="1" spans="1:6">
      <c r="A149" s="15"/>
      <c r="B149" s="15"/>
      <c r="C149" s="15"/>
      <c r="D149" s="15"/>
      <c r="E149" s="295"/>
      <c r="F149" s="296"/>
    </row>
    <row r="150" customHeight="1" spans="1:6">
      <c r="A150" s="15"/>
      <c r="B150" s="15"/>
      <c r="C150" s="15"/>
      <c r="D150" s="15"/>
      <c r="E150" s="295"/>
      <c r="F150" s="296"/>
    </row>
    <row r="151" customHeight="1" spans="1:6">
      <c r="A151" s="15"/>
      <c r="B151" s="15"/>
      <c r="C151" s="15"/>
      <c r="D151" s="15"/>
      <c r="E151" s="295"/>
      <c r="F151" s="296"/>
    </row>
    <row r="152" customHeight="1" spans="1:6">
      <c r="A152" s="15"/>
      <c r="B152" s="15"/>
      <c r="C152" s="15"/>
      <c r="D152" s="15"/>
      <c r="E152" s="295"/>
      <c r="F152" s="296"/>
    </row>
    <row r="153" customHeight="1" spans="1:6">
      <c r="A153" s="15"/>
      <c r="B153" s="15"/>
      <c r="C153" s="15"/>
      <c r="D153" s="15"/>
      <c r="E153" s="295"/>
      <c r="F153" s="296"/>
    </row>
    <row r="154" customHeight="1" spans="1:6">
      <c r="A154" s="15"/>
      <c r="B154" s="15"/>
      <c r="C154" s="15"/>
      <c r="D154" s="15"/>
      <c r="E154" s="295"/>
      <c r="F154" s="296"/>
    </row>
    <row r="155" customHeight="1" spans="1:6">
      <c r="A155" s="15"/>
      <c r="B155" s="15"/>
      <c r="C155" s="15"/>
      <c r="D155" s="15"/>
      <c r="E155" s="295"/>
      <c r="F155" s="296"/>
    </row>
    <row r="156" customHeight="1" spans="1:6">
      <c r="A156" s="15"/>
      <c r="B156" s="15"/>
      <c r="C156" s="15"/>
      <c r="D156" s="15"/>
      <c r="E156" s="295"/>
      <c r="F156" s="296"/>
    </row>
    <row r="157" customHeight="1" spans="1:6">
      <c r="A157" s="15"/>
      <c r="B157" s="15"/>
      <c r="C157" s="15"/>
      <c r="D157" s="15"/>
      <c r="E157" s="295"/>
      <c r="F157" s="296"/>
    </row>
    <row r="158" customHeight="1" spans="1:6">
      <c r="A158" s="15"/>
      <c r="B158" s="15"/>
      <c r="C158" s="15"/>
      <c r="D158" s="15"/>
      <c r="E158" s="295"/>
      <c r="F158" s="296"/>
    </row>
    <row r="159" customHeight="1" spans="1:6">
      <c r="A159" s="15"/>
      <c r="B159" s="15"/>
      <c r="C159" s="15"/>
      <c r="D159" s="15"/>
      <c r="E159" s="295"/>
      <c r="F159" s="296"/>
    </row>
    <row r="160" customHeight="1" spans="1:6">
      <c r="A160" s="15"/>
      <c r="B160" s="15"/>
      <c r="C160" s="15"/>
      <c r="D160" s="15"/>
      <c r="E160" s="295"/>
      <c r="F160" s="296"/>
    </row>
    <row r="161" customHeight="1" spans="1:6">
      <c r="A161" s="15"/>
      <c r="B161" s="15"/>
      <c r="C161" s="15"/>
      <c r="D161" s="15"/>
      <c r="E161" s="295"/>
      <c r="F161" s="296"/>
    </row>
    <row r="162" customHeight="1" spans="1:6">
      <c r="A162" s="15"/>
      <c r="B162" s="15"/>
      <c r="C162" s="15"/>
      <c r="D162" s="15"/>
      <c r="E162" s="295"/>
      <c r="F162" s="296"/>
    </row>
    <row r="163" customHeight="1" spans="1:6">
      <c r="A163" s="15"/>
      <c r="B163" s="15"/>
      <c r="C163" s="15"/>
      <c r="D163" s="15"/>
      <c r="E163" s="295"/>
      <c r="F163" s="296"/>
    </row>
    <row r="164" customHeight="1" spans="1:6">
      <c r="A164" s="15"/>
      <c r="B164" s="15"/>
      <c r="C164" s="15"/>
      <c r="D164" s="15"/>
      <c r="E164" s="295"/>
      <c r="F164" s="296"/>
    </row>
    <row r="165" customHeight="1" spans="1:6">
      <c r="A165" s="15"/>
      <c r="B165" s="15"/>
      <c r="C165" s="15"/>
      <c r="D165" s="15"/>
      <c r="E165" s="295"/>
      <c r="F165" s="296"/>
    </row>
    <row r="166" customHeight="1" spans="1:6">
      <c r="A166" s="15"/>
      <c r="B166" s="15"/>
      <c r="C166" s="15"/>
      <c r="D166" s="15"/>
      <c r="E166" s="295"/>
      <c r="F166" s="296"/>
    </row>
    <row r="167" customHeight="1" spans="1:6">
      <c r="A167" s="15"/>
      <c r="B167" s="15"/>
      <c r="C167" s="15"/>
      <c r="D167" s="15"/>
      <c r="E167" s="295"/>
      <c r="F167" s="296"/>
    </row>
    <row r="168" customHeight="1" spans="1:6">
      <c r="A168" s="15"/>
      <c r="B168" s="15"/>
      <c r="C168" s="15"/>
      <c r="D168" s="15"/>
      <c r="E168" s="295"/>
      <c r="F168" s="296"/>
    </row>
    <row r="169" customHeight="1" spans="1:6">
      <c r="A169" s="15"/>
      <c r="B169" s="15"/>
      <c r="C169" s="15"/>
      <c r="D169" s="15"/>
      <c r="E169" s="295"/>
      <c r="F169" s="296"/>
    </row>
    <row r="170" customHeight="1" spans="1:6">
      <c r="A170" s="15"/>
      <c r="B170" s="15"/>
      <c r="C170" s="15"/>
      <c r="D170" s="15"/>
      <c r="E170" s="295"/>
      <c r="F170" s="296"/>
    </row>
    <row r="171" customHeight="1" spans="1:6">
      <c r="A171" s="15"/>
      <c r="B171" s="15"/>
      <c r="C171" s="15"/>
      <c r="D171" s="15"/>
      <c r="E171" s="295"/>
      <c r="F171" s="296"/>
    </row>
    <row r="172" customHeight="1" spans="1:6">
      <c r="A172" s="15"/>
      <c r="B172" s="15"/>
      <c r="C172" s="15"/>
      <c r="D172" s="15"/>
      <c r="E172" s="295"/>
      <c r="F172" s="296"/>
    </row>
    <row r="173" customHeight="1" spans="1:6">
      <c r="A173" s="15"/>
      <c r="B173" s="15"/>
      <c r="C173" s="15"/>
      <c r="D173" s="15"/>
      <c r="E173" s="295"/>
      <c r="F173" s="296"/>
    </row>
    <row r="174" customHeight="1" spans="1:6">
      <c r="A174" s="15"/>
      <c r="B174" s="15"/>
      <c r="C174" s="15"/>
      <c r="D174" s="15"/>
      <c r="E174" s="295"/>
      <c r="F174" s="296"/>
    </row>
    <row r="175" customHeight="1" spans="1:6">
      <c r="A175" s="15"/>
      <c r="B175" s="15"/>
      <c r="C175" s="15"/>
      <c r="D175" s="15"/>
      <c r="E175" s="295"/>
      <c r="F175" s="296"/>
    </row>
    <row r="176" customHeight="1" spans="1:6">
      <c r="A176" s="15"/>
      <c r="B176" s="15"/>
      <c r="C176" s="15"/>
      <c r="D176" s="15"/>
      <c r="E176" s="295"/>
      <c r="F176" s="296"/>
    </row>
    <row r="177" customHeight="1" spans="1:6">
      <c r="A177" s="15"/>
      <c r="B177" s="15"/>
      <c r="C177" s="15"/>
      <c r="D177" s="15"/>
      <c r="E177" s="295"/>
      <c r="F177" s="296"/>
    </row>
    <row r="178" customHeight="1" spans="1:6">
      <c r="A178" s="15"/>
      <c r="B178" s="15"/>
      <c r="C178" s="15"/>
      <c r="D178" s="15"/>
      <c r="E178" s="295"/>
      <c r="F178" s="296"/>
    </row>
    <row r="179" customHeight="1" spans="1:6">
      <c r="A179" s="15"/>
      <c r="B179" s="15"/>
      <c r="C179" s="15"/>
      <c r="D179" s="15"/>
      <c r="E179" s="295"/>
      <c r="F179" s="296"/>
    </row>
    <row r="180" customHeight="1" spans="1:6">
      <c r="A180" s="15"/>
      <c r="B180" s="15"/>
      <c r="C180" s="15"/>
      <c r="D180" s="15"/>
      <c r="E180" s="295"/>
      <c r="F180" s="296"/>
    </row>
    <row r="181" customHeight="1" spans="1:6">
      <c r="A181" s="15"/>
      <c r="B181" s="15"/>
      <c r="C181" s="15"/>
      <c r="D181" s="15"/>
      <c r="E181" s="295"/>
      <c r="F181" s="296"/>
    </row>
    <row r="182" customHeight="1" spans="1:6">
      <c r="A182" s="15"/>
      <c r="B182" s="15"/>
      <c r="C182" s="15"/>
      <c r="D182" s="15"/>
      <c r="E182" s="295"/>
      <c r="F182" s="296"/>
    </row>
  </sheetData>
  <mergeCells count="6">
    <mergeCell ref="A2:A15"/>
    <mergeCell ref="B2:B3"/>
    <mergeCell ref="B4:B5"/>
    <mergeCell ref="B7:B8"/>
    <mergeCell ref="B10:B11"/>
    <mergeCell ref="B13:B1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债券-风控自动化测试（一期）"/>
  <dimension ref="A1:BR18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8" customHeight="1"/>
  <cols>
    <col min="1" max="1" width="6.61111111111111" style="197" customWidth="1"/>
    <col min="2" max="2" width="10.1111111111111" style="130" customWidth="1"/>
    <col min="3" max="3" width="36.5648148148148" style="198" customWidth="1"/>
    <col min="4" max="4" width="10.6481481481481" style="130" customWidth="1"/>
    <col min="5" max="5" width="21.7222222222222" style="130" customWidth="1"/>
    <col min="6" max="6" width="11.7314814814815" style="130" customWidth="1"/>
    <col min="7" max="7" width="56.1203703703704" style="198" customWidth="1"/>
    <col min="8" max="8" width="16.3240740740741" style="130" customWidth="1"/>
    <col min="9" max="10" width="13.7592592592593" style="130" customWidth="1"/>
    <col min="11" max="11" width="20.1018518518519" style="130" customWidth="1"/>
    <col min="12" max="12" width="13.7592592592593" style="130" customWidth="1"/>
    <col min="13" max="14" width="10.1111111111111" style="130" customWidth="1"/>
    <col min="15" max="15" width="23.6018518518519" style="130" customWidth="1"/>
    <col min="16" max="16" width="15.9166666666667" style="130" customWidth="1"/>
    <col min="17" max="17" width="9.98148148148148" style="130" customWidth="1"/>
    <col min="18" max="18" width="11.7314814814815" style="130" customWidth="1"/>
    <col min="19" max="19" width="12.1388888888889" style="130" customWidth="1"/>
    <col min="20" max="20" width="21.8518518518519" style="130" customWidth="1"/>
    <col min="21" max="21" width="12.1388888888889" style="130" customWidth="1"/>
    <col min="22" max="22" width="32.9166666666667" style="198" customWidth="1"/>
    <col min="23" max="23" width="10.25" style="130" customWidth="1"/>
    <col min="24" max="24" width="14.8333333333333" style="130" customWidth="1"/>
    <col min="25" max="25" width="15.2407407407407" style="130" customWidth="1"/>
    <col min="26" max="26" width="13.8888888888889" style="130" customWidth="1"/>
    <col min="27" max="27" width="13.6203703703704" style="130" customWidth="1"/>
    <col min="28" max="28" width="13.8888888888889" style="130" customWidth="1"/>
    <col min="29" max="29" width="14.8333333333333" style="130" customWidth="1"/>
    <col min="30" max="30" width="13.212962962963" style="130" customWidth="1"/>
    <col min="31" max="31" width="14.7037037037037" style="130" customWidth="1"/>
    <col min="32" max="32" width="12.9444444444444" style="130" customWidth="1"/>
    <col min="33" max="33" width="12.6851851851852" style="130" customWidth="1"/>
    <col min="34" max="34" width="12" style="130" customWidth="1"/>
    <col min="35" max="35" width="17.5462962962963" style="130" customWidth="1"/>
    <col min="36" max="70" width="10.9259259259259" style="130" customWidth="1"/>
  </cols>
  <sheetData>
    <row r="1" s="196" customFormat="1" ht="60.75" customHeight="1" spans="1:35">
      <c r="A1" s="155" t="s">
        <v>793</v>
      </c>
      <c r="B1" s="155" t="s">
        <v>794</v>
      </c>
      <c r="C1" s="132" t="s">
        <v>795</v>
      </c>
      <c r="D1" s="199" t="s">
        <v>796</v>
      </c>
      <c r="E1" s="155" t="s">
        <v>244</v>
      </c>
      <c r="F1" s="155" t="s">
        <v>245</v>
      </c>
      <c r="G1" s="132" t="s">
        <v>651</v>
      </c>
      <c r="H1" s="155" t="s">
        <v>178</v>
      </c>
      <c r="I1" s="155" t="s">
        <v>179</v>
      </c>
      <c r="J1" s="155" t="s">
        <v>180</v>
      </c>
      <c r="K1" s="155" t="s">
        <v>181</v>
      </c>
      <c r="L1" s="155" t="s">
        <v>182</v>
      </c>
      <c r="M1" s="155" t="s">
        <v>183</v>
      </c>
      <c r="N1" s="155" t="s">
        <v>184</v>
      </c>
      <c r="O1" s="131" t="s">
        <v>147</v>
      </c>
      <c r="P1" s="242" t="s">
        <v>374</v>
      </c>
      <c r="Q1" s="249" t="s">
        <v>375</v>
      </c>
      <c r="R1" s="249" t="s">
        <v>185</v>
      </c>
      <c r="S1" s="249" t="s">
        <v>186</v>
      </c>
      <c r="T1" s="249" t="s">
        <v>187</v>
      </c>
      <c r="U1" s="250" t="s">
        <v>188</v>
      </c>
      <c r="V1" s="251" t="s">
        <v>189</v>
      </c>
      <c r="W1" s="252" t="s">
        <v>190</v>
      </c>
      <c r="X1" s="253" t="s">
        <v>191</v>
      </c>
      <c r="Y1" s="250" t="s">
        <v>198</v>
      </c>
      <c r="Z1" s="250" t="s">
        <v>202</v>
      </c>
      <c r="AA1" s="250" t="s">
        <v>203</v>
      </c>
      <c r="AB1" s="250" t="s">
        <v>205</v>
      </c>
      <c r="AC1" s="250" t="s">
        <v>206</v>
      </c>
      <c r="AD1" s="250" t="s">
        <v>207</v>
      </c>
      <c r="AE1" s="250" t="s">
        <v>208</v>
      </c>
      <c r="AF1" s="156" t="s">
        <v>209</v>
      </c>
      <c r="AG1" s="266" t="s">
        <v>210</v>
      </c>
      <c r="AH1" s="156" t="s">
        <v>211</v>
      </c>
      <c r="AI1" s="158" t="s">
        <v>212</v>
      </c>
    </row>
    <row r="2" s="11" customFormat="1" ht="37.5" customHeight="1" spans="1:70">
      <c r="A2" s="200">
        <v>1</v>
      </c>
      <c r="B2" s="201">
        <v>1</v>
      </c>
      <c r="C2" s="159" t="s">
        <v>797</v>
      </c>
      <c r="D2" s="202">
        <v>2</v>
      </c>
      <c r="E2" s="203" t="s">
        <v>255</v>
      </c>
      <c r="F2" s="58" t="s">
        <v>256</v>
      </c>
      <c r="G2" s="204" t="s">
        <v>798</v>
      </c>
      <c r="H2" s="205">
        <v>100</v>
      </c>
      <c r="I2" s="205">
        <v>1100</v>
      </c>
      <c r="J2" s="205">
        <v>9.09</v>
      </c>
      <c r="K2" s="205"/>
      <c r="L2" s="159">
        <v>1000000</v>
      </c>
      <c r="M2" s="159">
        <v>1000000</v>
      </c>
      <c r="N2" s="159">
        <v>1000000</v>
      </c>
      <c r="O2" s="243" t="s">
        <v>799</v>
      </c>
      <c r="P2" s="58" t="s">
        <v>392</v>
      </c>
      <c r="Q2" s="58" t="s">
        <v>393</v>
      </c>
      <c r="R2" s="58">
        <v>45817</v>
      </c>
      <c r="S2" s="58" t="s">
        <v>480</v>
      </c>
      <c r="T2" s="58" t="s">
        <v>481</v>
      </c>
      <c r="U2" s="58" t="s">
        <v>800</v>
      </c>
      <c r="V2" s="58" t="s">
        <v>801</v>
      </c>
      <c r="W2" s="58">
        <v>100</v>
      </c>
      <c r="X2" s="204">
        <v>100</v>
      </c>
      <c r="Y2" s="226"/>
      <c r="Z2" s="237"/>
      <c r="AA2" s="163"/>
      <c r="AB2" s="163"/>
      <c r="AC2" s="163"/>
      <c r="AD2" s="163"/>
      <c r="AE2" s="163"/>
      <c r="AF2" s="264" t="s">
        <v>221</v>
      </c>
      <c r="AG2" s="57" t="s">
        <v>222</v>
      </c>
      <c r="AH2" s="227"/>
      <c r="AI2" s="264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X2" s="173"/>
      <c r="AY2" s="173"/>
      <c r="AZ2" s="173"/>
      <c r="BA2" s="173"/>
      <c r="BB2" s="173"/>
      <c r="BC2" s="173"/>
      <c r="BD2" s="173"/>
      <c r="BE2" s="173"/>
      <c r="BF2" s="173"/>
      <c r="BG2" s="173"/>
      <c r="BH2" s="173"/>
      <c r="BI2" s="173"/>
      <c r="BJ2" s="173"/>
      <c r="BK2" s="173"/>
      <c r="BL2" s="173"/>
      <c r="BM2" s="173"/>
      <c r="BN2" s="173"/>
      <c r="BO2" s="173"/>
      <c r="BP2" s="173"/>
      <c r="BQ2" s="173"/>
      <c r="BR2" s="173"/>
    </row>
    <row r="3" s="11" customFormat="1" ht="26.25" customHeight="1" spans="1:70">
      <c r="A3" s="200"/>
      <c r="B3" s="139"/>
      <c r="C3" s="206"/>
      <c r="D3" s="103"/>
      <c r="E3" s="203" t="s">
        <v>166</v>
      </c>
      <c r="F3" s="58" t="s">
        <v>256</v>
      </c>
      <c r="G3" s="204" t="s">
        <v>802</v>
      </c>
      <c r="H3" s="205">
        <v>100</v>
      </c>
      <c r="I3" s="205"/>
      <c r="J3" s="205"/>
      <c r="K3" s="205"/>
      <c r="L3" s="159"/>
      <c r="M3" s="159"/>
      <c r="N3" s="159"/>
      <c r="O3" s="243"/>
      <c r="P3" s="58"/>
      <c r="Q3" s="58"/>
      <c r="R3" s="58"/>
      <c r="S3" s="58"/>
      <c r="T3" s="58"/>
      <c r="U3" s="58"/>
      <c r="V3" s="58"/>
      <c r="W3" s="58"/>
      <c r="X3" s="204"/>
      <c r="Y3" s="226"/>
      <c r="Z3" s="237"/>
      <c r="AA3" s="163"/>
      <c r="AB3" s="163"/>
      <c r="AC3" s="163"/>
      <c r="AD3" s="163"/>
      <c r="AE3" s="163"/>
      <c r="AF3" s="264"/>
      <c r="AG3" s="57"/>
      <c r="AH3" s="227"/>
      <c r="AI3" s="264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3"/>
      <c r="AX3" s="173"/>
      <c r="AY3" s="173"/>
      <c r="AZ3" s="173"/>
      <c r="BA3" s="173"/>
      <c r="BB3" s="173"/>
      <c r="BC3" s="173"/>
      <c r="BD3" s="173"/>
      <c r="BE3" s="173"/>
      <c r="BF3" s="173"/>
      <c r="BG3" s="173"/>
      <c r="BH3" s="173"/>
      <c r="BI3" s="173"/>
      <c r="BJ3" s="173"/>
      <c r="BK3" s="173"/>
      <c r="BL3" s="173"/>
      <c r="BM3" s="173"/>
      <c r="BN3" s="173"/>
      <c r="BO3" s="173"/>
      <c r="BP3" s="173"/>
      <c r="BQ3" s="173"/>
      <c r="BR3" s="173"/>
    </row>
    <row r="4" s="11" customFormat="1" ht="26.25" customHeight="1" spans="1:70">
      <c r="A4" s="13"/>
      <c r="B4" s="57">
        <v>3</v>
      </c>
      <c r="C4" s="127"/>
      <c r="D4" s="202">
        <v>1</v>
      </c>
      <c r="E4" s="203" t="s">
        <v>163</v>
      </c>
      <c r="F4" s="58" t="s">
        <v>295</v>
      </c>
      <c r="G4" s="204" t="s">
        <v>803</v>
      </c>
      <c r="H4" s="204">
        <v>0</v>
      </c>
      <c r="I4" s="204"/>
      <c r="J4" s="204"/>
      <c r="K4" s="204"/>
      <c r="L4" s="58">
        <v>-1000000</v>
      </c>
      <c r="M4" s="58">
        <v>-1000000</v>
      </c>
      <c r="N4" s="58">
        <v>-1000000</v>
      </c>
      <c r="O4" s="243" t="s">
        <v>799</v>
      </c>
      <c r="P4" s="58" t="s">
        <v>392</v>
      </c>
      <c r="Q4" s="58" t="s">
        <v>432</v>
      </c>
      <c r="R4" s="58">
        <v>45817</v>
      </c>
      <c r="S4" s="58" t="s">
        <v>480</v>
      </c>
      <c r="T4" s="58" t="s">
        <v>481</v>
      </c>
      <c r="U4" s="58" t="s">
        <v>800</v>
      </c>
      <c r="V4" s="58" t="s">
        <v>801</v>
      </c>
      <c r="W4" s="58">
        <v>100</v>
      </c>
      <c r="X4" s="204">
        <v>100</v>
      </c>
      <c r="Y4" s="226" t="s">
        <v>218</v>
      </c>
      <c r="Z4" s="237"/>
      <c r="AA4" s="163"/>
      <c r="AB4" s="163"/>
      <c r="AC4" s="163"/>
      <c r="AD4" s="163"/>
      <c r="AE4" s="163"/>
      <c r="AF4" s="264" t="s">
        <v>221</v>
      </c>
      <c r="AG4" s="57" t="s">
        <v>222</v>
      </c>
      <c r="AH4" s="227"/>
      <c r="AI4" s="264"/>
      <c r="AJ4" s="173"/>
      <c r="AK4" s="173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3"/>
      <c r="BN4" s="173"/>
      <c r="BO4" s="173"/>
      <c r="BP4" s="173"/>
      <c r="BQ4" s="173"/>
      <c r="BR4" s="173"/>
    </row>
    <row r="5" s="11" customFormat="1" ht="31.5" customHeight="1" spans="1:70">
      <c r="A5" s="207"/>
      <c r="B5" s="201" t="s">
        <v>804</v>
      </c>
      <c r="C5" s="127"/>
      <c r="D5" s="202">
        <v>2</v>
      </c>
      <c r="E5" s="203" t="s">
        <v>255</v>
      </c>
      <c r="F5" s="58" t="s">
        <v>256</v>
      </c>
      <c r="G5" s="204" t="s">
        <v>805</v>
      </c>
      <c r="H5" s="205">
        <v>100</v>
      </c>
      <c r="I5" s="205">
        <v>1100</v>
      </c>
      <c r="J5" s="205">
        <v>9.09</v>
      </c>
      <c r="K5" s="205"/>
      <c r="L5" s="159">
        <v>1000000</v>
      </c>
      <c r="M5" s="159">
        <v>1000000</v>
      </c>
      <c r="N5" s="159">
        <v>1000000</v>
      </c>
      <c r="O5" s="243" t="s">
        <v>799</v>
      </c>
      <c r="P5" s="58" t="s">
        <v>392</v>
      </c>
      <c r="Q5" s="58" t="s">
        <v>393</v>
      </c>
      <c r="R5" s="58">
        <v>45817</v>
      </c>
      <c r="S5" s="58" t="s">
        <v>480</v>
      </c>
      <c r="T5" s="58" t="s">
        <v>481</v>
      </c>
      <c r="U5" s="58" t="s">
        <v>800</v>
      </c>
      <c r="V5" s="58" t="s">
        <v>801</v>
      </c>
      <c r="W5" s="58">
        <v>100</v>
      </c>
      <c r="X5" s="204">
        <v>100</v>
      </c>
      <c r="Y5" s="226"/>
      <c r="Z5" s="237"/>
      <c r="AA5" s="163"/>
      <c r="AB5" s="163"/>
      <c r="AC5" s="163"/>
      <c r="AD5" s="163"/>
      <c r="AE5" s="163"/>
      <c r="AF5" s="264" t="s">
        <v>221</v>
      </c>
      <c r="AG5" s="57" t="s">
        <v>222</v>
      </c>
      <c r="AH5" s="227"/>
      <c r="AI5" s="264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/>
      <c r="BF5" s="173"/>
      <c r="BG5" s="173"/>
      <c r="BH5" s="173"/>
      <c r="BI5" s="173"/>
      <c r="BJ5" s="173"/>
      <c r="BK5" s="173"/>
      <c r="BL5" s="173"/>
      <c r="BM5" s="173"/>
      <c r="BN5" s="173"/>
      <c r="BO5" s="173"/>
      <c r="BP5" s="173"/>
      <c r="BQ5" s="173"/>
      <c r="BR5" s="173"/>
    </row>
    <row r="6" s="11" customFormat="1" customHeight="1" spans="1:70">
      <c r="A6" s="200"/>
      <c r="B6" s="139"/>
      <c r="C6" s="206"/>
      <c r="D6" s="103"/>
      <c r="E6" s="203" t="s">
        <v>166</v>
      </c>
      <c r="F6" s="58" t="s">
        <v>256</v>
      </c>
      <c r="G6" s="204" t="s">
        <v>802</v>
      </c>
      <c r="H6" s="205">
        <v>100</v>
      </c>
      <c r="I6" s="205"/>
      <c r="J6" s="205"/>
      <c r="K6" s="205"/>
      <c r="L6" s="159"/>
      <c r="M6" s="159"/>
      <c r="N6" s="159"/>
      <c r="O6" s="243"/>
      <c r="P6" s="58"/>
      <c r="Q6" s="58"/>
      <c r="R6" s="58"/>
      <c r="S6" s="58"/>
      <c r="T6" s="58"/>
      <c r="U6" s="58"/>
      <c r="V6" s="58"/>
      <c r="W6" s="58"/>
      <c r="X6" s="204"/>
      <c r="Y6" s="226"/>
      <c r="Z6" s="237"/>
      <c r="AA6" s="163"/>
      <c r="AB6" s="163"/>
      <c r="AC6" s="163"/>
      <c r="AD6" s="163"/>
      <c r="AE6" s="163"/>
      <c r="AF6" s="265"/>
      <c r="AG6" s="55"/>
      <c r="AH6" s="238"/>
      <c r="AI6" s="265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N6" s="173"/>
      <c r="BO6" s="173"/>
      <c r="BP6" s="173"/>
      <c r="BQ6" s="173"/>
      <c r="BR6" s="173"/>
    </row>
    <row r="7" s="11" customFormat="1" customHeight="1" spans="1:70">
      <c r="A7" s="208"/>
      <c r="B7" s="209" t="s">
        <v>806</v>
      </c>
      <c r="C7" s="210"/>
      <c r="D7" s="202">
        <v>1</v>
      </c>
      <c r="E7" s="203" t="s">
        <v>163</v>
      </c>
      <c r="F7" s="58" t="s">
        <v>295</v>
      </c>
      <c r="G7" s="204" t="s">
        <v>803</v>
      </c>
      <c r="H7" s="204">
        <v>0</v>
      </c>
      <c r="I7" s="204"/>
      <c r="J7" s="204"/>
      <c r="K7" s="204"/>
      <c r="L7" s="58">
        <v>-1000000</v>
      </c>
      <c r="M7" s="58">
        <v>-1000000</v>
      </c>
      <c r="N7" s="58">
        <v>-1000000</v>
      </c>
      <c r="O7" s="243" t="s">
        <v>799</v>
      </c>
      <c r="P7" s="58" t="s">
        <v>392</v>
      </c>
      <c r="Q7" s="58" t="s">
        <v>432</v>
      </c>
      <c r="R7" s="58">
        <v>45817</v>
      </c>
      <c r="S7" s="58" t="s">
        <v>480</v>
      </c>
      <c r="T7" s="58" t="s">
        <v>481</v>
      </c>
      <c r="U7" s="58" t="s">
        <v>800</v>
      </c>
      <c r="V7" s="58" t="s">
        <v>801</v>
      </c>
      <c r="W7" s="58">
        <v>100</v>
      </c>
      <c r="X7" s="204">
        <v>100</v>
      </c>
      <c r="Y7" s="226" t="s">
        <v>218</v>
      </c>
      <c r="Z7" s="237"/>
      <c r="AA7" s="163"/>
      <c r="AB7" s="163"/>
      <c r="AC7" s="163"/>
      <c r="AD7" s="163"/>
      <c r="AE7" s="163"/>
      <c r="AF7" s="265" t="s">
        <v>221</v>
      </c>
      <c r="AG7" s="55" t="s">
        <v>222</v>
      </c>
      <c r="AH7" s="238"/>
      <c r="AI7" s="265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  <c r="BP7" s="173"/>
      <c r="BQ7" s="173"/>
      <c r="BR7" s="173"/>
    </row>
    <row r="8" s="10" customFormat="1" customHeight="1" spans="1:70">
      <c r="A8" s="211">
        <v>2</v>
      </c>
      <c r="B8" s="212" t="s">
        <v>807</v>
      </c>
      <c r="C8" s="159" t="s">
        <v>808</v>
      </c>
      <c r="D8" s="202">
        <v>1</v>
      </c>
      <c r="E8" s="163" t="s">
        <v>163</v>
      </c>
      <c r="F8" s="163" t="s">
        <v>295</v>
      </c>
      <c r="G8" s="213" t="s">
        <v>803</v>
      </c>
      <c r="H8" s="163">
        <v>-100</v>
      </c>
      <c r="I8" s="163"/>
      <c r="J8" s="163"/>
      <c r="K8" s="163"/>
      <c r="L8" s="163">
        <v>-1000000</v>
      </c>
      <c r="M8" s="163">
        <v>-1000000</v>
      </c>
      <c r="N8" s="163">
        <v>-1000000</v>
      </c>
      <c r="O8" s="244" t="s">
        <v>809</v>
      </c>
      <c r="P8" s="58" t="s">
        <v>403</v>
      </c>
      <c r="Q8" s="58" t="s">
        <v>471</v>
      </c>
      <c r="R8" s="58">
        <v>45817</v>
      </c>
      <c r="S8" s="58" t="s">
        <v>480</v>
      </c>
      <c r="T8" s="58" t="s">
        <v>481</v>
      </c>
      <c r="U8" s="58" t="s">
        <v>800</v>
      </c>
      <c r="V8" s="58" t="s">
        <v>810</v>
      </c>
      <c r="W8" s="58"/>
      <c r="X8" s="58"/>
      <c r="Y8" s="163"/>
      <c r="Z8" s="163">
        <v>1</v>
      </c>
      <c r="AA8" s="163">
        <v>1</v>
      </c>
      <c r="AB8" s="163"/>
      <c r="AC8" s="163"/>
      <c r="AD8" s="163"/>
      <c r="AE8" s="163"/>
      <c r="AF8" s="265" t="s">
        <v>221</v>
      </c>
      <c r="AG8" s="55" t="s">
        <v>222</v>
      </c>
      <c r="AH8" s="261"/>
      <c r="AI8" s="164"/>
      <c r="AJ8" s="226"/>
      <c r="AK8" s="226"/>
      <c r="AL8" s="226"/>
      <c r="AM8" s="226"/>
      <c r="AN8" s="226"/>
      <c r="AO8" s="226"/>
      <c r="AP8" s="226"/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</row>
    <row r="9" s="10" customFormat="1" ht="33" customHeight="1" spans="1:70">
      <c r="A9" s="127"/>
      <c r="B9" s="212" t="s">
        <v>811</v>
      </c>
      <c r="C9" s="127"/>
      <c r="D9" s="214">
        <v>2</v>
      </c>
      <c r="E9" s="163" t="s">
        <v>255</v>
      </c>
      <c r="F9" s="163" t="s">
        <v>256</v>
      </c>
      <c r="G9" s="213" t="s">
        <v>812</v>
      </c>
      <c r="H9" s="164">
        <v>0</v>
      </c>
      <c r="I9" s="164">
        <v>1100</v>
      </c>
      <c r="J9" s="164">
        <v>0</v>
      </c>
      <c r="K9" s="164"/>
      <c r="L9" s="164">
        <v>1000000</v>
      </c>
      <c r="M9" s="164">
        <v>1000000</v>
      </c>
      <c r="N9" s="164">
        <v>1000000</v>
      </c>
      <c r="O9" s="245" t="s">
        <v>809</v>
      </c>
      <c r="P9" s="58" t="s">
        <v>403</v>
      </c>
      <c r="Q9" s="58" t="s">
        <v>404</v>
      </c>
      <c r="R9" s="58">
        <v>45817</v>
      </c>
      <c r="S9" s="58" t="s">
        <v>480</v>
      </c>
      <c r="T9" s="58" t="s">
        <v>481</v>
      </c>
      <c r="U9" s="58" t="s">
        <v>800</v>
      </c>
      <c r="V9" s="58" t="s">
        <v>810</v>
      </c>
      <c r="W9" s="58"/>
      <c r="X9" s="58"/>
      <c r="Y9" s="163"/>
      <c r="Z9" s="163">
        <v>1</v>
      </c>
      <c r="AA9" s="163">
        <v>1</v>
      </c>
      <c r="AB9" s="163"/>
      <c r="AC9" s="163"/>
      <c r="AD9" s="163"/>
      <c r="AE9" s="163"/>
      <c r="AF9" s="265" t="s">
        <v>221</v>
      </c>
      <c r="AG9" s="55" t="s">
        <v>222</v>
      </c>
      <c r="AH9" s="226"/>
      <c r="AI9" s="163"/>
      <c r="AJ9" s="226"/>
      <c r="AK9" s="226"/>
      <c r="AL9" s="226"/>
      <c r="AM9" s="226"/>
      <c r="AN9" s="226"/>
      <c r="AO9" s="226"/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</row>
    <row r="10" s="10" customFormat="1" customHeight="1" spans="1:70">
      <c r="A10" s="127"/>
      <c r="B10" s="127"/>
      <c r="C10" s="127"/>
      <c r="D10" s="127"/>
      <c r="E10" s="163" t="s">
        <v>491</v>
      </c>
      <c r="F10" s="163" t="s">
        <v>256</v>
      </c>
      <c r="G10" s="213" t="s">
        <v>813</v>
      </c>
      <c r="H10" s="164"/>
      <c r="I10" s="164"/>
      <c r="J10" s="164"/>
      <c r="K10" s="164"/>
      <c r="L10" s="164"/>
      <c r="M10" s="164"/>
      <c r="N10" s="164"/>
      <c r="O10" s="245"/>
      <c r="P10" s="58"/>
      <c r="Q10" s="58"/>
      <c r="R10" s="58"/>
      <c r="S10" s="58"/>
      <c r="T10" s="58"/>
      <c r="U10" s="58"/>
      <c r="V10" s="58"/>
      <c r="W10" s="58"/>
      <c r="X10" s="58"/>
      <c r="Y10" s="163"/>
      <c r="Z10" s="163"/>
      <c r="AA10" s="163"/>
      <c r="AB10" s="163"/>
      <c r="AC10" s="163"/>
      <c r="AD10" s="163"/>
      <c r="AE10" s="163"/>
      <c r="AF10" s="265"/>
      <c r="AG10" s="55"/>
      <c r="AH10" s="226"/>
      <c r="AI10" s="163"/>
      <c r="AJ10" s="226"/>
      <c r="AK10" s="226"/>
      <c r="AL10" s="226"/>
      <c r="AM10" s="226"/>
      <c r="AN10" s="226"/>
      <c r="AO10" s="226"/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</row>
    <row r="11" s="10" customFormat="1" customHeight="1" spans="1:70">
      <c r="A11" s="127"/>
      <c r="B11" s="212" t="s">
        <v>814</v>
      </c>
      <c r="C11" s="127"/>
      <c r="D11" s="202">
        <v>1</v>
      </c>
      <c r="E11" s="163" t="s">
        <v>163</v>
      </c>
      <c r="F11" s="163" t="s">
        <v>295</v>
      </c>
      <c r="G11" s="213" t="s">
        <v>803</v>
      </c>
      <c r="H11" s="163">
        <v>-100</v>
      </c>
      <c r="I11" s="163"/>
      <c r="J11" s="163"/>
      <c r="K11" s="163"/>
      <c r="L11" s="163">
        <v>-1000000</v>
      </c>
      <c r="M11" s="163">
        <v>-1000000</v>
      </c>
      <c r="N11" s="163">
        <v>-1000000</v>
      </c>
      <c r="O11" s="245" t="s">
        <v>809</v>
      </c>
      <c r="P11" s="58" t="s">
        <v>403</v>
      </c>
      <c r="Q11" s="58" t="s">
        <v>471</v>
      </c>
      <c r="R11" s="58">
        <v>45817</v>
      </c>
      <c r="S11" s="58" t="s">
        <v>480</v>
      </c>
      <c r="T11" s="58" t="s">
        <v>481</v>
      </c>
      <c r="U11" s="58" t="s">
        <v>800</v>
      </c>
      <c r="V11" s="58" t="s">
        <v>810</v>
      </c>
      <c r="W11" s="58"/>
      <c r="X11" s="58"/>
      <c r="Y11" s="163"/>
      <c r="Z11" s="163">
        <v>1</v>
      </c>
      <c r="AA11" s="163">
        <v>1</v>
      </c>
      <c r="AB11" s="163"/>
      <c r="AC11" s="163"/>
      <c r="AD11" s="163"/>
      <c r="AE11" s="163"/>
      <c r="AF11" s="265" t="s">
        <v>221</v>
      </c>
      <c r="AG11" s="55" t="s">
        <v>222</v>
      </c>
      <c r="AH11" s="226"/>
      <c r="AI11" s="163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</row>
    <row r="12" s="10" customFormat="1" ht="27" customHeight="1" spans="1:70">
      <c r="A12" s="127"/>
      <c r="B12" s="212" t="s">
        <v>815</v>
      </c>
      <c r="C12" s="127"/>
      <c r="D12" s="214">
        <v>2</v>
      </c>
      <c r="E12" s="163" t="s">
        <v>255</v>
      </c>
      <c r="F12" s="163" t="s">
        <v>256</v>
      </c>
      <c r="G12" s="213" t="s">
        <v>812</v>
      </c>
      <c r="H12" s="163">
        <v>0</v>
      </c>
      <c r="I12" s="163">
        <v>1100</v>
      </c>
      <c r="J12" s="163">
        <v>0</v>
      </c>
      <c r="K12" s="163"/>
      <c r="L12" s="163">
        <v>1000000</v>
      </c>
      <c r="M12" s="163">
        <v>1000000</v>
      </c>
      <c r="N12" s="163">
        <v>1000000</v>
      </c>
      <c r="O12" s="245" t="s">
        <v>809</v>
      </c>
      <c r="P12" s="58" t="s">
        <v>403</v>
      </c>
      <c r="Q12" s="58" t="s">
        <v>404</v>
      </c>
      <c r="R12" s="58">
        <v>45817</v>
      </c>
      <c r="S12" s="58" t="s">
        <v>480</v>
      </c>
      <c r="T12" s="58" t="s">
        <v>481</v>
      </c>
      <c r="U12" s="58" t="s">
        <v>800</v>
      </c>
      <c r="V12" s="58" t="s">
        <v>810</v>
      </c>
      <c r="W12" s="58"/>
      <c r="X12" s="58"/>
      <c r="Y12" s="163"/>
      <c r="Z12" s="163">
        <v>1</v>
      </c>
      <c r="AA12" s="163">
        <v>1</v>
      </c>
      <c r="AB12" s="163"/>
      <c r="AC12" s="163"/>
      <c r="AD12" s="163"/>
      <c r="AE12" s="163"/>
      <c r="AF12" s="265" t="s">
        <v>221</v>
      </c>
      <c r="AG12" s="55" t="s">
        <v>222</v>
      </c>
      <c r="AH12" s="226"/>
      <c r="AI12" s="163"/>
      <c r="AJ12" s="226"/>
      <c r="AK12" s="226"/>
      <c r="AL12" s="226"/>
      <c r="AM12" s="226"/>
      <c r="AN12" s="226"/>
      <c r="AO12" s="226"/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</row>
    <row r="13" s="10" customFormat="1" ht="21" customHeight="1" spans="1:70">
      <c r="A13" s="103"/>
      <c r="B13" s="127"/>
      <c r="C13" s="127"/>
      <c r="D13" s="138"/>
      <c r="E13" s="215" t="s">
        <v>491</v>
      </c>
      <c r="F13" s="163" t="s">
        <v>256</v>
      </c>
      <c r="G13" s="213" t="s">
        <v>816</v>
      </c>
      <c r="H13" s="163"/>
      <c r="I13" s="163"/>
      <c r="J13" s="163"/>
      <c r="K13" s="163"/>
      <c r="L13" s="163"/>
      <c r="M13" s="163"/>
      <c r="N13" s="163"/>
      <c r="O13" s="246"/>
      <c r="P13" s="57"/>
      <c r="Q13" s="57"/>
      <c r="R13" s="254"/>
      <c r="S13" s="57"/>
      <c r="T13" s="57"/>
      <c r="U13" s="163"/>
      <c r="V13" s="213"/>
      <c r="W13" s="163"/>
      <c r="X13" s="163"/>
      <c r="Y13" s="163"/>
      <c r="Z13" s="163"/>
      <c r="AA13" s="163"/>
      <c r="AB13" s="163"/>
      <c r="AC13" s="163"/>
      <c r="AD13" s="163"/>
      <c r="AE13" s="163"/>
      <c r="AF13" s="265"/>
      <c r="AG13" s="55"/>
      <c r="AH13" s="163"/>
      <c r="AI13" s="163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</row>
    <row r="14" s="10" customFormat="1" ht="21" customHeight="1" spans="1:70">
      <c r="A14" s="200">
        <v>3</v>
      </c>
      <c r="B14" s="163" t="s">
        <v>817</v>
      </c>
      <c r="C14" s="159" t="s">
        <v>818</v>
      </c>
      <c r="D14" s="214">
        <v>1</v>
      </c>
      <c r="E14" s="215" t="s">
        <v>163</v>
      </c>
      <c r="F14" s="163" t="s">
        <v>295</v>
      </c>
      <c r="G14" s="213" t="s">
        <v>803</v>
      </c>
      <c r="H14" s="163">
        <v>-100</v>
      </c>
      <c r="I14" s="163"/>
      <c r="J14" s="163"/>
      <c r="K14" s="163"/>
      <c r="L14" s="163">
        <v>-1000000</v>
      </c>
      <c r="M14" s="163">
        <v>-1000000</v>
      </c>
      <c r="N14" s="163">
        <v>-1000000</v>
      </c>
      <c r="O14" s="247" t="s">
        <v>819</v>
      </c>
      <c r="P14" s="57" t="s">
        <v>455</v>
      </c>
      <c r="Q14" s="57" t="s">
        <v>471</v>
      </c>
      <c r="R14" s="254">
        <v>45817</v>
      </c>
      <c r="S14" s="57" t="s">
        <v>480</v>
      </c>
      <c r="T14" s="57" t="s">
        <v>481</v>
      </c>
      <c r="U14" s="163" t="s">
        <v>800</v>
      </c>
      <c r="V14" s="213" t="s">
        <v>810</v>
      </c>
      <c r="W14" s="163"/>
      <c r="X14" s="163"/>
      <c r="Y14" s="163"/>
      <c r="Z14" s="163">
        <v>1</v>
      </c>
      <c r="AA14" s="163">
        <v>2</v>
      </c>
      <c r="AB14" s="163" t="s">
        <v>480</v>
      </c>
      <c r="AC14" s="163" t="s">
        <v>481</v>
      </c>
      <c r="AD14" s="163">
        <v>100</v>
      </c>
      <c r="AE14" s="163">
        <v>100</v>
      </c>
      <c r="AF14" s="265" t="s">
        <v>221</v>
      </c>
      <c r="AG14" s="55" t="s">
        <v>222</v>
      </c>
      <c r="AH14" s="163"/>
      <c r="AI14" s="163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</row>
    <row r="15" s="10" customFormat="1" ht="15.75" customHeight="1" spans="1:70">
      <c r="A15" s="15"/>
      <c r="B15" s="216" t="s">
        <v>820</v>
      </c>
      <c r="C15" s="127"/>
      <c r="D15" s="214">
        <v>0</v>
      </c>
      <c r="E15" s="215"/>
      <c r="F15" s="163"/>
      <c r="G15" s="213"/>
      <c r="H15" s="163"/>
      <c r="I15" s="163"/>
      <c r="J15" s="163"/>
      <c r="K15" s="163"/>
      <c r="L15" s="163"/>
      <c r="M15" s="163"/>
      <c r="N15" s="163"/>
      <c r="O15" s="57" t="s">
        <v>819</v>
      </c>
      <c r="P15" s="248" t="s">
        <v>455</v>
      </c>
      <c r="Q15" s="164" t="s">
        <v>404</v>
      </c>
      <c r="R15" s="255">
        <v>45817</v>
      </c>
      <c r="S15" s="248" t="s">
        <v>480</v>
      </c>
      <c r="T15" s="248" t="s">
        <v>481</v>
      </c>
      <c r="U15" s="164" t="s">
        <v>800</v>
      </c>
      <c r="V15" s="256" t="s">
        <v>810</v>
      </c>
      <c r="W15" s="164"/>
      <c r="X15" s="164"/>
      <c r="Y15" s="163"/>
      <c r="Z15" s="163">
        <v>1</v>
      </c>
      <c r="AA15" s="163">
        <v>2</v>
      </c>
      <c r="AB15" s="163" t="s">
        <v>480</v>
      </c>
      <c r="AC15" s="163" t="s">
        <v>481</v>
      </c>
      <c r="AD15" s="163">
        <v>100</v>
      </c>
      <c r="AE15" s="163">
        <v>100</v>
      </c>
      <c r="AF15" s="265" t="s">
        <v>221</v>
      </c>
      <c r="AG15" s="55" t="s">
        <v>222</v>
      </c>
      <c r="AH15" s="163"/>
      <c r="AI15" s="163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</row>
    <row r="16" s="10" customFormat="1" ht="24.75" customHeight="1" spans="1:70">
      <c r="A16" s="217"/>
      <c r="B16" s="209" t="s">
        <v>821</v>
      </c>
      <c r="C16" s="127"/>
      <c r="D16" s="214">
        <v>1</v>
      </c>
      <c r="E16" s="215" t="s">
        <v>163</v>
      </c>
      <c r="F16" s="163" t="s">
        <v>295</v>
      </c>
      <c r="G16" s="213" t="s">
        <v>803</v>
      </c>
      <c r="H16" s="163">
        <v>-200</v>
      </c>
      <c r="I16" s="163"/>
      <c r="J16" s="163"/>
      <c r="K16" s="163"/>
      <c r="L16" s="163">
        <v>-1000000</v>
      </c>
      <c r="M16" s="163">
        <v>-1000000</v>
      </c>
      <c r="N16" s="163">
        <v>-1000000</v>
      </c>
      <c r="O16" s="57" t="s">
        <v>819</v>
      </c>
      <c r="P16" s="57" t="s">
        <v>455</v>
      </c>
      <c r="Q16" s="57" t="s">
        <v>471</v>
      </c>
      <c r="R16" s="255">
        <v>45817</v>
      </c>
      <c r="S16" s="57" t="s">
        <v>480</v>
      </c>
      <c r="T16" s="57" t="s">
        <v>481</v>
      </c>
      <c r="U16" s="163" t="s">
        <v>800</v>
      </c>
      <c r="V16" s="257" t="s">
        <v>810</v>
      </c>
      <c r="W16" s="163"/>
      <c r="X16" s="163"/>
      <c r="Y16" s="163"/>
      <c r="Z16" s="163">
        <v>1</v>
      </c>
      <c r="AA16" s="163">
        <v>2</v>
      </c>
      <c r="AB16" s="163" t="s">
        <v>480</v>
      </c>
      <c r="AC16" s="163" t="s">
        <v>481</v>
      </c>
      <c r="AD16" s="163">
        <v>100</v>
      </c>
      <c r="AE16" s="163">
        <v>100</v>
      </c>
      <c r="AF16" s="265" t="s">
        <v>221</v>
      </c>
      <c r="AG16" s="55" t="s">
        <v>222</v>
      </c>
      <c r="AH16" s="163"/>
      <c r="AI16" s="163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</row>
    <row r="17" s="10" customFormat="1" customHeight="1" spans="1:70">
      <c r="A17" s="217"/>
      <c r="B17" s="216" t="s">
        <v>822</v>
      </c>
      <c r="C17" s="103"/>
      <c r="D17" s="214">
        <v>0</v>
      </c>
      <c r="E17" s="215"/>
      <c r="F17" s="215"/>
      <c r="G17" s="213"/>
      <c r="H17" s="163"/>
      <c r="I17" s="163"/>
      <c r="J17" s="163"/>
      <c r="K17" s="163"/>
      <c r="L17" s="163"/>
      <c r="M17" s="163"/>
      <c r="N17" s="163"/>
      <c r="O17" s="57" t="s">
        <v>819</v>
      </c>
      <c r="P17" s="57" t="s">
        <v>455</v>
      </c>
      <c r="Q17" s="163" t="s">
        <v>404</v>
      </c>
      <c r="R17" s="255">
        <v>45817</v>
      </c>
      <c r="S17" s="57" t="s">
        <v>480</v>
      </c>
      <c r="T17" s="57" t="s">
        <v>481</v>
      </c>
      <c r="U17" s="163" t="s">
        <v>800</v>
      </c>
      <c r="V17" s="257" t="s">
        <v>810</v>
      </c>
      <c r="W17" s="163"/>
      <c r="X17" s="226"/>
      <c r="Y17" s="163"/>
      <c r="Z17" s="163">
        <v>1</v>
      </c>
      <c r="AA17" s="163">
        <v>2</v>
      </c>
      <c r="AB17" s="163" t="s">
        <v>480</v>
      </c>
      <c r="AC17" s="163" t="s">
        <v>481</v>
      </c>
      <c r="AD17" s="163">
        <v>100</v>
      </c>
      <c r="AE17" s="163">
        <v>100</v>
      </c>
      <c r="AF17" s="265" t="s">
        <v>221</v>
      </c>
      <c r="AG17" s="55" t="s">
        <v>222</v>
      </c>
      <c r="AH17" s="226"/>
      <c r="AI17" s="163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</row>
    <row r="18" s="10" customFormat="1" ht="33" customHeight="1" spans="1:70">
      <c r="A18" s="218">
        <v>4</v>
      </c>
      <c r="B18" s="212" t="s">
        <v>823</v>
      </c>
      <c r="C18" s="59" t="s">
        <v>824</v>
      </c>
      <c r="D18" s="214">
        <v>2</v>
      </c>
      <c r="E18" s="163" t="s">
        <v>255</v>
      </c>
      <c r="F18" s="163" t="s">
        <v>256</v>
      </c>
      <c r="G18" s="213" t="s">
        <v>825</v>
      </c>
      <c r="H18" s="163">
        <v>100</v>
      </c>
      <c r="I18" s="163">
        <v>1187800</v>
      </c>
      <c r="J18" s="163">
        <v>0.01</v>
      </c>
      <c r="K18" s="163"/>
      <c r="L18" s="163"/>
      <c r="M18" s="163"/>
      <c r="N18" s="163"/>
      <c r="O18" s="163" t="s">
        <v>826</v>
      </c>
      <c r="P18" s="57" t="s">
        <v>392</v>
      </c>
      <c r="Q18" s="57" t="s">
        <v>393</v>
      </c>
      <c r="R18" s="258"/>
      <c r="S18" s="226"/>
      <c r="T18" s="226"/>
      <c r="U18" s="226"/>
      <c r="V18" s="227"/>
      <c r="W18" s="163"/>
      <c r="X18" s="226"/>
      <c r="Y18" s="163"/>
      <c r="Z18" s="163"/>
      <c r="AA18" s="163"/>
      <c r="AB18" s="163"/>
      <c r="AC18" s="163"/>
      <c r="AD18" s="163"/>
      <c r="AE18" s="163"/>
      <c r="AF18" s="265" t="s">
        <v>221</v>
      </c>
      <c r="AG18" s="55" t="s">
        <v>222</v>
      </c>
      <c r="AH18" s="226"/>
      <c r="AI18" s="163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  <c r="BO18" s="226"/>
      <c r="BP18" s="226"/>
      <c r="BQ18" s="226"/>
      <c r="BR18" s="226"/>
    </row>
    <row r="19" s="10" customFormat="1" customHeight="1" spans="1:70">
      <c r="A19" s="219"/>
      <c r="B19" s="103"/>
      <c r="C19" s="220"/>
      <c r="D19" s="138"/>
      <c r="E19" s="163" t="s">
        <v>166</v>
      </c>
      <c r="F19" s="163" t="s">
        <v>256</v>
      </c>
      <c r="G19" s="213" t="s">
        <v>802</v>
      </c>
      <c r="H19" s="163"/>
      <c r="I19" s="163"/>
      <c r="J19" s="163"/>
      <c r="K19" s="163"/>
      <c r="L19" s="163"/>
      <c r="M19" s="163"/>
      <c r="N19" s="163"/>
      <c r="O19" s="163"/>
      <c r="P19" s="57"/>
      <c r="Q19" s="57"/>
      <c r="R19" s="258"/>
      <c r="S19" s="226"/>
      <c r="T19" s="226"/>
      <c r="U19" s="226"/>
      <c r="V19" s="227"/>
      <c r="W19" s="163"/>
      <c r="X19" s="226"/>
      <c r="Y19" s="163"/>
      <c r="Z19" s="163"/>
      <c r="AA19" s="163"/>
      <c r="AB19" s="163"/>
      <c r="AC19" s="163"/>
      <c r="AD19" s="163"/>
      <c r="AE19" s="163"/>
      <c r="AF19" s="265"/>
      <c r="AG19" s="55"/>
      <c r="AH19" s="226"/>
      <c r="AI19" s="163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  <c r="BO19" s="226"/>
      <c r="BP19" s="226"/>
      <c r="BQ19" s="226"/>
      <c r="BR19" s="226"/>
    </row>
    <row r="20" s="10" customFormat="1" customHeight="1" spans="1:70">
      <c r="A20" s="139"/>
      <c r="B20" s="163" t="s">
        <v>827</v>
      </c>
      <c r="C20" s="138"/>
      <c r="D20" s="214">
        <v>1</v>
      </c>
      <c r="E20" s="163" t="s">
        <v>163</v>
      </c>
      <c r="F20" s="163" t="s">
        <v>295</v>
      </c>
      <c r="G20" s="213" t="s">
        <v>803</v>
      </c>
      <c r="H20" s="163">
        <v>0</v>
      </c>
      <c r="I20" s="163"/>
      <c r="J20" s="163"/>
      <c r="K20" s="163"/>
      <c r="L20" s="163"/>
      <c r="M20" s="163"/>
      <c r="N20" s="163"/>
      <c r="O20" s="163" t="s">
        <v>826</v>
      </c>
      <c r="P20" s="57" t="s">
        <v>392</v>
      </c>
      <c r="Q20" s="57" t="s">
        <v>432</v>
      </c>
      <c r="R20" s="258"/>
      <c r="S20" s="226"/>
      <c r="T20" s="226"/>
      <c r="U20" s="226"/>
      <c r="V20" s="227"/>
      <c r="W20" s="163"/>
      <c r="X20" s="226"/>
      <c r="Y20" s="163"/>
      <c r="Z20" s="163"/>
      <c r="AA20" s="163"/>
      <c r="AB20" s="163"/>
      <c r="AC20" s="163"/>
      <c r="AD20" s="163"/>
      <c r="AE20" s="163"/>
      <c r="AF20" s="265" t="s">
        <v>221</v>
      </c>
      <c r="AG20" s="55" t="s">
        <v>222</v>
      </c>
      <c r="AH20" s="226"/>
      <c r="AI20" s="163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  <c r="BO20" s="226"/>
      <c r="BP20" s="226"/>
      <c r="BQ20" s="226"/>
      <c r="BR20" s="226"/>
    </row>
    <row r="21" s="10" customFormat="1" customHeight="1" spans="1:70">
      <c r="A21" s="127"/>
      <c r="B21" s="163" t="s">
        <v>828</v>
      </c>
      <c r="C21" s="127"/>
      <c r="D21" s="214">
        <v>1</v>
      </c>
      <c r="E21" s="163" t="s">
        <v>163</v>
      </c>
      <c r="F21" s="163" t="s">
        <v>295</v>
      </c>
      <c r="G21" s="213" t="s">
        <v>803</v>
      </c>
      <c r="H21" s="163">
        <v>-100</v>
      </c>
      <c r="I21" s="163"/>
      <c r="J21" s="163"/>
      <c r="K21" s="163"/>
      <c r="L21" s="163"/>
      <c r="M21" s="163"/>
      <c r="N21" s="163"/>
      <c r="O21" s="163" t="s">
        <v>826</v>
      </c>
      <c r="P21" s="57" t="s">
        <v>403</v>
      </c>
      <c r="Q21" s="163" t="s">
        <v>471</v>
      </c>
      <c r="R21" s="258"/>
      <c r="S21" s="226"/>
      <c r="T21" s="226"/>
      <c r="U21" s="226"/>
      <c r="V21" s="227"/>
      <c r="W21" s="163"/>
      <c r="X21" s="226"/>
      <c r="Y21" s="163"/>
      <c r="Z21" s="163"/>
      <c r="AA21" s="163"/>
      <c r="AB21" s="163"/>
      <c r="AC21" s="163"/>
      <c r="AD21" s="163"/>
      <c r="AE21" s="163"/>
      <c r="AF21" s="265" t="s">
        <v>221</v>
      </c>
      <c r="AG21" s="55" t="s">
        <v>222</v>
      </c>
      <c r="AH21" s="226"/>
      <c r="AI21" s="163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  <c r="BO21" s="226"/>
      <c r="BP21" s="226"/>
      <c r="BQ21" s="226"/>
      <c r="BR21" s="226"/>
    </row>
    <row r="22" s="10" customFormat="1" customHeight="1" spans="1:70">
      <c r="A22" s="127"/>
      <c r="B22" s="163"/>
      <c r="C22" s="127"/>
      <c r="D22" s="214">
        <v>0</v>
      </c>
      <c r="E22" s="163" t="s">
        <v>829</v>
      </c>
      <c r="F22" s="163"/>
      <c r="G22" s="213"/>
      <c r="H22" s="163"/>
      <c r="I22" s="163"/>
      <c r="J22" s="163"/>
      <c r="K22" s="163"/>
      <c r="L22" s="163"/>
      <c r="M22" s="163"/>
      <c r="N22" s="163"/>
      <c r="O22" s="163" t="s">
        <v>826</v>
      </c>
      <c r="P22" s="57" t="s">
        <v>119</v>
      </c>
      <c r="Q22" s="163" t="s">
        <v>126</v>
      </c>
      <c r="R22" s="258"/>
      <c r="S22" s="226"/>
      <c r="T22" s="226"/>
      <c r="U22" s="226"/>
      <c r="V22" s="227"/>
      <c r="W22" s="163"/>
      <c r="X22" s="226"/>
      <c r="Y22" s="163"/>
      <c r="Z22" s="163"/>
      <c r="AA22" s="163"/>
      <c r="AB22" s="163"/>
      <c r="AC22" s="163"/>
      <c r="AD22" s="163"/>
      <c r="AE22" s="163"/>
      <c r="AF22" s="265" t="s">
        <v>221</v>
      </c>
      <c r="AG22" s="55" t="s">
        <v>222</v>
      </c>
      <c r="AH22" s="226"/>
      <c r="AI22" s="163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  <c r="BO22" s="226"/>
      <c r="BP22" s="226"/>
      <c r="BQ22" s="226"/>
      <c r="BR22" s="226"/>
    </row>
    <row r="23" s="10" customFormat="1" customHeight="1" spans="1:70">
      <c r="A23" s="127"/>
      <c r="B23" s="163"/>
      <c r="C23" s="127"/>
      <c r="D23" s="214">
        <v>0</v>
      </c>
      <c r="E23" s="163" t="s">
        <v>829</v>
      </c>
      <c r="F23" s="163"/>
      <c r="G23" s="213"/>
      <c r="H23" s="163"/>
      <c r="I23" s="163"/>
      <c r="J23" s="163"/>
      <c r="K23" s="163"/>
      <c r="L23" s="163"/>
      <c r="M23" s="163"/>
      <c r="N23" s="163"/>
      <c r="O23" s="163" t="s">
        <v>826</v>
      </c>
      <c r="P23" s="57" t="s">
        <v>119</v>
      </c>
      <c r="Q23" s="163" t="s">
        <v>127</v>
      </c>
      <c r="R23" s="258"/>
      <c r="S23" s="226"/>
      <c r="T23" s="226"/>
      <c r="U23" s="226"/>
      <c r="V23" s="227"/>
      <c r="W23" s="163"/>
      <c r="X23" s="226"/>
      <c r="Y23" s="163"/>
      <c r="Z23" s="163"/>
      <c r="AA23" s="163"/>
      <c r="AB23" s="163"/>
      <c r="AC23" s="163"/>
      <c r="AD23" s="163"/>
      <c r="AE23" s="163"/>
      <c r="AF23" s="265" t="s">
        <v>221</v>
      </c>
      <c r="AG23" s="55" t="s">
        <v>222</v>
      </c>
      <c r="AH23" s="226"/>
      <c r="AI23" s="163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  <c r="BO23" s="226"/>
      <c r="BP23" s="226"/>
      <c r="BQ23" s="226"/>
      <c r="BR23" s="226"/>
    </row>
    <row r="24" s="10" customFormat="1" ht="19.5" customHeight="1" spans="1:70">
      <c r="A24" s="127"/>
      <c r="B24" s="163" t="s">
        <v>830</v>
      </c>
      <c r="C24" s="127"/>
      <c r="D24" s="214">
        <v>1</v>
      </c>
      <c r="E24" s="163" t="s">
        <v>163</v>
      </c>
      <c r="F24" s="163" t="s">
        <v>295</v>
      </c>
      <c r="G24" s="221" t="s">
        <v>803</v>
      </c>
      <c r="H24" s="163">
        <v>-200</v>
      </c>
      <c r="I24" s="163"/>
      <c r="J24" s="163"/>
      <c r="K24" s="163"/>
      <c r="L24" s="163"/>
      <c r="M24" s="163"/>
      <c r="N24" s="163"/>
      <c r="O24" s="163" t="s">
        <v>826</v>
      </c>
      <c r="P24" s="57" t="s">
        <v>455</v>
      </c>
      <c r="Q24" s="57" t="s">
        <v>471</v>
      </c>
      <c r="R24" s="258"/>
      <c r="S24" s="226"/>
      <c r="T24" s="226"/>
      <c r="U24" s="226"/>
      <c r="V24" s="227"/>
      <c r="W24" s="163"/>
      <c r="X24" s="226"/>
      <c r="Y24" s="163"/>
      <c r="Z24" s="163"/>
      <c r="AA24" s="163"/>
      <c r="AB24" s="163"/>
      <c r="AC24" s="163"/>
      <c r="AD24" s="163"/>
      <c r="AE24" s="163"/>
      <c r="AF24" s="265" t="s">
        <v>221</v>
      </c>
      <c r="AG24" s="55" t="s">
        <v>222</v>
      </c>
      <c r="AH24" s="226"/>
      <c r="AI24" s="163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  <c r="BO24" s="226"/>
      <c r="BP24" s="226"/>
      <c r="BQ24" s="226"/>
      <c r="BR24" s="226"/>
    </row>
    <row r="25" s="10" customFormat="1" customHeight="1" spans="1:70">
      <c r="A25" s="103"/>
      <c r="B25" s="163"/>
      <c r="C25" s="127"/>
      <c r="D25" s="214">
        <v>0</v>
      </c>
      <c r="E25" s="163" t="s">
        <v>831</v>
      </c>
      <c r="F25" s="163"/>
      <c r="G25" s="213"/>
      <c r="H25" s="163"/>
      <c r="I25" s="163"/>
      <c r="J25" s="163"/>
      <c r="K25" s="163"/>
      <c r="L25" s="163"/>
      <c r="M25" s="163"/>
      <c r="N25" s="163"/>
      <c r="O25" s="163" t="s">
        <v>826</v>
      </c>
      <c r="P25" s="57" t="s">
        <v>455</v>
      </c>
      <c r="Q25" s="163" t="s">
        <v>404</v>
      </c>
      <c r="R25" s="258"/>
      <c r="S25" s="226"/>
      <c r="T25" s="226"/>
      <c r="U25" s="226"/>
      <c r="V25" s="227"/>
      <c r="W25" s="163"/>
      <c r="X25" s="226"/>
      <c r="Y25" s="163"/>
      <c r="Z25" s="163"/>
      <c r="AA25" s="163"/>
      <c r="AB25" s="163"/>
      <c r="AC25" s="163"/>
      <c r="AD25" s="163"/>
      <c r="AE25" s="163"/>
      <c r="AF25" s="265" t="s">
        <v>221</v>
      </c>
      <c r="AG25" s="55" t="s">
        <v>222</v>
      </c>
      <c r="AH25" s="226"/>
      <c r="AI25" s="163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  <c r="BO25" s="226"/>
      <c r="BP25" s="226"/>
      <c r="BQ25" s="226"/>
      <c r="BR25" s="226"/>
    </row>
    <row r="26" s="10" customFormat="1" ht="33" customHeight="1" spans="1:70">
      <c r="A26" s="200">
        <v>5</v>
      </c>
      <c r="B26" s="212" t="s">
        <v>832</v>
      </c>
      <c r="C26" s="159" t="s">
        <v>833</v>
      </c>
      <c r="D26" s="214">
        <v>2</v>
      </c>
      <c r="E26" s="163" t="s">
        <v>255</v>
      </c>
      <c r="F26" s="163" t="s">
        <v>256</v>
      </c>
      <c r="G26" s="213" t="s">
        <v>834</v>
      </c>
      <c r="H26" s="163">
        <v>100</v>
      </c>
      <c r="I26" s="163">
        <v>80000</v>
      </c>
      <c r="J26" s="163">
        <v>0.13</v>
      </c>
      <c r="K26" s="163"/>
      <c r="L26" s="163">
        <v>1000000</v>
      </c>
      <c r="M26" s="163">
        <v>1000000</v>
      </c>
      <c r="N26" s="163">
        <v>1000000</v>
      </c>
      <c r="O26" s="163" t="s">
        <v>835</v>
      </c>
      <c r="P26" s="227" t="s">
        <v>412</v>
      </c>
      <c r="Q26" s="57" t="s">
        <v>393</v>
      </c>
      <c r="R26" s="259">
        <v>45817</v>
      </c>
      <c r="S26" s="57" t="s">
        <v>836</v>
      </c>
      <c r="T26" s="57" t="s">
        <v>837</v>
      </c>
      <c r="U26" s="163" t="s">
        <v>800</v>
      </c>
      <c r="V26" s="257" t="s">
        <v>810</v>
      </c>
      <c r="W26" s="163">
        <v>100</v>
      </c>
      <c r="X26" s="226"/>
      <c r="Y26" s="163"/>
      <c r="Z26" s="163"/>
      <c r="AA26" s="163"/>
      <c r="AB26" s="163"/>
      <c r="AC26" s="163"/>
      <c r="AD26" s="163"/>
      <c r="AE26" s="163"/>
      <c r="AF26" s="265" t="s">
        <v>221</v>
      </c>
      <c r="AG26" s="55" t="s">
        <v>222</v>
      </c>
      <c r="AH26" s="226"/>
      <c r="AI26" s="163"/>
      <c r="AJ26" s="226"/>
      <c r="AK26" s="226"/>
      <c r="AL26" s="226"/>
      <c r="AM26" s="226"/>
      <c r="AN26" s="226"/>
      <c r="AO26" s="226"/>
      <c r="AP26" s="226"/>
      <c r="AQ26" s="226"/>
      <c r="AR26" s="226"/>
      <c r="AS26" s="226"/>
      <c r="AT26" s="226"/>
      <c r="AU26" s="226"/>
      <c r="AV26" s="226"/>
      <c r="AW26" s="226"/>
      <c r="AX26" s="226"/>
      <c r="AY26" s="226"/>
      <c r="AZ26" s="226"/>
      <c r="BA26" s="226"/>
      <c r="BB26" s="226"/>
      <c r="BC26" s="226"/>
      <c r="BD26" s="226"/>
      <c r="BE26" s="226"/>
      <c r="BF26" s="226"/>
      <c r="BG26" s="226"/>
      <c r="BH26" s="226"/>
      <c r="BI26" s="226"/>
      <c r="BJ26" s="226"/>
      <c r="BK26" s="226"/>
      <c r="BL26" s="226"/>
      <c r="BM26" s="226"/>
      <c r="BN26" s="226"/>
      <c r="BO26" s="226"/>
      <c r="BP26" s="226"/>
      <c r="BQ26" s="226"/>
      <c r="BR26" s="226"/>
    </row>
    <row r="27" s="10" customFormat="1" ht="30.75" customHeight="1" spans="1:70">
      <c r="A27" s="200"/>
      <c r="B27" s="127"/>
      <c r="C27" s="206"/>
      <c r="D27" s="138"/>
      <c r="E27" s="163" t="s">
        <v>166</v>
      </c>
      <c r="F27" s="163" t="s">
        <v>256</v>
      </c>
      <c r="G27" s="213" t="s">
        <v>838</v>
      </c>
      <c r="H27" s="163"/>
      <c r="I27" s="163"/>
      <c r="J27" s="163"/>
      <c r="K27" s="163"/>
      <c r="L27" s="163"/>
      <c r="M27" s="163"/>
      <c r="N27" s="163"/>
      <c r="O27" s="163"/>
      <c r="P27" s="227"/>
      <c r="Q27" s="57"/>
      <c r="R27" s="259"/>
      <c r="S27" s="57"/>
      <c r="T27" s="57"/>
      <c r="U27" s="163"/>
      <c r="V27" s="257"/>
      <c r="W27" s="163"/>
      <c r="X27" s="226"/>
      <c r="Y27" s="163"/>
      <c r="Z27" s="163"/>
      <c r="AA27" s="163"/>
      <c r="AB27" s="163"/>
      <c r="AC27" s="163"/>
      <c r="AD27" s="163"/>
      <c r="AE27" s="163"/>
      <c r="AF27" s="265"/>
      <c r="AG27" s="55"/>
      <c r="AH27" s="226"/>
      <c r="AI27" s="163"/>
      <c r="AJ27" s="226"/>
      <c r="AK27" s="22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6"/>
      <c r="AX27" s="226"/>
      <c r="AY27" s="226"/>
      <c r="AZ27" s="226"/>
      <c r="BA27" s="226"/>
      <c r="BB27" s="226"/>
      <c r="BC27" s="226"/>
      <c r="BD27" s="226"/>
      <c r="BE27" s="226"/>
      <c r="BF27" s="226"/>
      <c r="BG27" s="226"/>
      <c r="BH27" s="226"/>
      <c r="BI27" s="226"/>
      <c r="BJ27" s="226"/>
      <c r="BK27" s="226"/>
      <c r="BL27" s="226"/>
      <c r="BM27" s="226"/>
      <c r="BN27" s="226"/>
      <c r="BO27" s="226"/>
      <c r="BP27" s="226"/>
      <c r="BQ27" s="226"/>
      <c r="BR27" s="226"/>
    </row>
    <row r="28" s="10" customFormat="1" ht="30.75" customHeight="1" spans="1:70">
      <c r="A28" s="222"/>
      <c r="B28" s="212" t="s">
        <v>839</v>
      </c>
      <c r="C28" s="223"/>
      <c r="D28" s="214">
        <v>2</v>
      </c>
      <c r="E28" s="163" t="s">
        <v>255</v>
      </c>
      <c r="F28" s="163" t="s">
        <v>256</v>
      </c>
      <c r="G28" s="221" t="s">
        <v>840</v>
      </c>
      <c r="H28" s="163">
        <v>100</v>
      </c>
      <c r="I28" s="163">
        <v>110000</v>
      </c>
      <c r="J28" s="163">
        <v>0.18</v>
      </c>
      <c r="K28" s="163"/>
      <c r="L28" s="163">
        <v>1000000</v>
      </c>
      <c r="M28" s="163">
        <v>1000000</v>
      </c>
      <c r="N28" s="163">
        <v>1000000</v>
      </c>
      <c r="O28" s="163" t="s">
        <v>835</v>
      </c>
      <c r="P28" s="227" t="s">
        <v>412</v>
      </c>
      <c r="Q28" s="57" t="s">
        <v>393</v>
      </c>
      <c r="R28" s="259">
        <v>45817</v>
      </c>
      <c r="S28" s="57" t="s">
        <v>841</v>
      </c>
      <c r="T28" s="57" t="s">
        <v>842</v>
      </c>
      <c r="U28" s="163" t="s">
        <v>800</v>
      </c>
      <c r="V28" s="257" t="s">
        <v>810</v>
      </c>
      <c r="W28" s="163">
        <v>100</v>
      </c>
      <c r="X28" s="226"/>
      <c r="Y28" s="163"/>
      <c r="Z28" s="163"/>
      <c r="AA28" s="163"/>
      <c r="AB28" s="163"/>
      <c r="AC28" s="163"/>
      <c r="AD28" s="163"/>
      <c r="AE28" s="163"/>
      <c r="AF28" s="265" t="s">
        <v>221</v>
      </c>
      <c r="AG28" s="55" t="s">
        <v>222</v>
      </c>
      <c r="AH28" s="226"/>
      <c r="AI28" s="163"/>
      <c r="AJ28" s="226"/>
      <c r="AK28" s="226"/>
      <c r="AL28" s="226"/>
      <c r="AM28" s="226"/>
      <c r="AN28" s="226"/>
      <c r="AO28" s="226"/>
      <c r="AP28" s="226"/>
      <c r="AQ28" s="226"/>
      <c r="AR28" s="226"/>
      <c r="AS28" s="226"/>
      <c r="AT28" s="226"/>
      <c r="AU28" s="226"/>
      <c r="AV28" s="226"/>
      <c r="AW28" s="226"/>
      <c r="AX28" s="226"/>
      <c r="AY28" s="226"/>
      <c r="AZ28" s="226"/>
      <c r="BA28" s="226"/>
      <c r="BB28" s="226"/>
      <c r="BC28" s="226"/>
      <c r="BD28" s="226"/>
      <c r="BE28" s="226"/>
      <c r="BF28" s="226"/>
      <c r="BG28" s="226"/>
      <c r="BH28" s="226"/>
      <c r="BI28" s="226"/>
      <c r="BJ28" s="226"/>
      <c r="BK28" s="226"/>
      <c r="BL28" s="226"/>
      <c r="BM28" s="226"/>
      <c r="BN28" s="226"/>
      <c r="BO28" s="226"/>
      <c r="BP28" s="226"/>
      <c r="BQ28" s="226"/>
      <c r="BR28" s="226"/>
    </row>
    <row r="29" s="10" customFormat="1" customHeight="1" spans="1:70">
      <c r="A29" s="200"/>
      <c r="B29" s="212"/>
      <c r="C29" s="206"/>
      <c r="D29" s="138"/>
      <c r="E29" s="163" t="s">
        <v>166</v>
      </c>
      <c r="F29" s="163"/>
      <c r="G29" s="213"/>
      <c r="H29" s="163"/>
      <c r="I29" s="163"/>
      <c r="J29" s="163"/>
      <c r="K29" s="163"/>
      <c r="L29" s="163"/>
      <c r="M29" s="163"/>
      <c r="N29" s="163"/>
      <c r="O29" s="163"/>
      <c r="P29" s="57"/>
      <c r="Q29" s="57"/>
      <c r="R29" s="259"/>
      <c r="S29" s="57"/>
      <c r="T29" s="57"/>
      <c r="U29" s="163"/>
      <c r="V29" s="257"/>
      <c r="W29" s="163"/>
      <c r="X29" s="226"/>
      <c r="Y29" s="163"/>
      <c r="Z29" s="163"/>
      <c r="AA29" s="163"/>
      <c r="AB29" s="163"/>
      <c r="AC29" s="163"/>
      <c r="AD29" s="163"/>
      <c r="AE29" s="163"/>
      <c r="AF29" s="265"/>
      <c r="AG29" s="55"/>
      <c r="AH29" s="226"/>
      <c r="AI29" s="163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6"/>
      <c r="AX29" s="226"/>
      <c r="AY29" s="226"/>
      <c r="AZ29" s="226"/>
      <c r="BA29" s="226"/>
      <c r="BB29" s="226"/>
      <c r="BC29" s="226"/>
      <c r="BD29" s="226"/>
      <c r="BE29" s="226"/>
      <c r="BF29" s="226"/>
      <c r="BG29" s="226"/>
      <c r="BH29" s="226"/>
      <c r="BI29" s="226"/>
      <c r="BJ29" s="226"/>
      <c r="BK29" s="226"/>
      <c r="BL29" s="226"/>
      <c r="BM29" s="226"/>
      <c r="BN29" s="226"/>
      <c r="BO29" s="226"/>
      <c r="BP29" s="226"/>
      <c r="BQ29" s="226"/>
      <c r="BR29" s="226"/>
    </row>
    <row r="30" s="10" customFormat="1" customHeight="1" spans="1:70">
      <c r="A30" s="222"/>
      <c r="B30" s="212" t="s">
        <v>843</v>
      </c>
      <c r="C30" s="223"/>
      <c r="D30" s="214">
        <v>1</v>
      </c>
      <c r="E30" s="163" t="s">
        <v>163</v>
      </c>
      <c r="F30" s="163" t="s">
        <v>295</v>
      </c>
      <c r="G30" s="213" t="s">
        <v>803</v>
      </c>
      <c r="H30" s="163">
        <v>0</v>
      </c>
      <c r="I30" s="163"/>
      <c r="J30" s="163"/>
      <c r="K30" s="163"/>
      <c r="L30" s="163">
        <v>-1000000</v>
      </c>
      <c r="M30" s="163">
        <v>-1000000</v>
      </c>
      <c r="N30" s="163">
        <v>-1000000</v>
      </c>
      <c r="O30" s="163" t="s">
        <v>835</v>
      </c>
      <c r="P30" s="57" t="s">
        <v>412</v>
      </c>
      <c r="Q30" s="57" t="s">
        <v>432</v>
      </c>
      <c r="R30" s="259">
        <v>45817</v>
      </c>
      <c r="S30" s="57" t="s">
        <v>836</v>
      </c>
      <c r="T30" s="57" t="s">
        <v>837</v>
      </c>
      <c r="U30" s="163" t="s">
        <v>800</v>
      </c>
      <c r="V30" s="257" t="s">
        <v>810</v>
      </c>
      <c r="W30" s="163">
        <v>100</v>
      </c>
      <c r="X30" s="226"/>
      <c r="Y30" s="163"/>
      <c r="Z30" s="163"/>
      <c r="AA30" s="163"/>
      <c r="AB30" s="163"/>
      <c r="AC30" s="163"/>
      <c r="AD30" s="163"/>
      <c r="AE30" s="163"/>
      <c r="AF30" s="265" t="s">
        <v>221</v>
      </c>
      <c r="AG30" s="55" t="s">
        <v>222</v>
      </c>
      <c r="AH30" s="226"/>
      <c r="AI30" s="163"/>
      <c r="AJ30" s="226"/>
      <c r="AK30" s="22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  <c r="AX30" s="226"/>
      <c r="AY30" s="226"/>
      <c r="AZ30" s="226"/>
      <c r="BA30" s="226"/>
      <c r="BB30" s="226"/>
      <c r="BC30" s="226"/>
      <c r="BD30" s="226"/>
      <c r="BE30" s="226"/>
      <c r="BF30" s="226"/>
      <c r="BG30" s="226"/>
      <c r="BH30" s="226"/>
      <c r="BI30" s="226"/>
      <c r="BJ30" s="226"/>
      <c r="BK30" s="226"/>
      <c r="BL30" s="226"/>
      <c r="BM30" s="226"/>
      <c r="BN30" s="226"/>
      <c r="BO30" s="226"/>
      <c r="BP30" s="226"/>
      <c r="BQ30" s="226"/>
      <c r="BR30" s="226"/>
    </row>
    <row r="31" s="10" customFormat="1" customHeight="1" spans="1:70">
      <c r="A31" s="222"/>
      <c r="B31" s="212" t="s">
        <v>844</v>
      </c>
      <c r="C31" s="223"/>
      <c r="D31" s="214">
        <v>1</v>
      </c>
      <c r="E31" s="163" t="s">
        <v>163</v>
      </c>
      <c r="F31" s="163" t="s">
        <v>295</v>
      </c>
      <c r="G31" s="213" t="s">
        <v>803</v>
      </c>
      <c r="H31" s="163"/>
      <c r="I31" s="163"/>
      <c r="J31" s="163"/>
      <c r="K31" s="163"/>
      <c r="L31" s="163">
        <v>-1000000</v>
      </c>
      <c r="M31" s="163">
        <v>-1000000</v>
      </c>
      <c r="N31" s="163">
        <v>-1000000</v>
      </c>
      <c r="O31" s="163" t="s">
        <v>835</v>
      </c>
      <c r="P31" s="57" t="s">
        <v>412</v>
      </c>
      <c r="Q31" s="57" t="s">
        <v>432</v>
      </c>
      <c r="R31" s="259">
        <v>45817</v>
      </c>
      <c r="S31" s="57" t="s">
        <v>841</v>
      </c>
      <c r="T31" s="57" t="s">
        <v>842</v>
      </c>
      <c r="U31" s="163" t="s">
        <v>800</v>
      </c>
      <c r="V31" s="257" t="s">
        <v>810</v>
      </c>
      <c r="W31" s="163">
        <v>100</v>
      </c>
      <c r="X31" s="226"/>
      <c r="Y31" s="163"/>
      <c r="Z31" s="226"/>
      <c r="AA31" s="163"/>
      <c r="AB31" s="163"/>
      <c r="AC31" s="163"/>
      <c r="AD31" s="163"/>
      <c r="AE31" s="163"/>
      <c r="AF31" s="265" t="s">
        <v>221</v>
      </c>
      <c r="AG31" s="55" t="s">
        <v>222</v>
      </c>
      <c r="AH31" s="226"/>
      <c r="AI31" s="163"/>
      <c r="AJ31" s="226"/>
      <c r="AK31" s="226"/>
      <c r="AL31" s="226"/>
      <c r="AM31" s="226"/>
      <c r="AN31" s="226"/>
      <c r="AO31" s="226"/>
      <c r="AP31" s="226"/>
      <c r="AQ31" s="226"/>
      <c r="AR31" s="226"/>
      <c r="AS31" s="226"/>
      <c r="AT31" s="226"/>
      <c r="AU31" s="226"/>
      <c r="AV31" s="226"/>
      <c r="AW31" s="226"/>
      <c r="AX31" s="226"/>
      <c r="AY31" s="226"/>
      <c r="AZ31" s="226"/>
      <c r="BA31" s="226"/>
      <c r="BB31" s="226"/>
      <c r="BC31" s="226"/>
      <c r="BD31" s="226"/>
      <c r="BE31" s="226"/>
      <c r="BF31" s="226"/>
      <c r="BG31" s="226"/>
      <c r="BH31" s="226"/>
      <c r="BI31" s="226"/>
      <c r="BJ31" s="226"/>
      <c r="BK31" s="226"/>
      <c r="BL31" s="226"/>
      <c r="BM31" s="226"/>
      <c r="BN31" s="226"/>
      <c r="BO31" s="226"/>
      <c r="BP31" s="226"/>
      <c r="BQ31" s="226"/>
      <c r="BR31" s="226"/>
    </row>
    <row r="32" s="10" customFormat="1" ht="15.75" customHeight="1" spans="1:70">
      <c r="A32" s="224">
        <v>6</v>
      </c>
      <c r="B32" s="212" t="s">
        <v>845</v>
      </c>
      <c r="C32" s="159" t="s">
        <v>846</v>
      </c>
      <c r="D32" s="214">
        <v>1</v>
      </c>
      <c r="E32" s="163" t="s">
        <v>163</v>
      </c>
      <c r="F32" s="163" t="s">
        <v>295</v>
      </c>
      <c r="G32" s="163" t="s">
        <v>847</v>
      </c>
      <c r="H32" s="163">
        <v>-100</v>
      </c>
      <c r="I32" s="163"/>
      <c r="J32" s="163"/>
      <c r="K32" s="163"/>
      <c r="L32" s="163">
        <v>-1000000</v>
      </c>
      <c r="M32" s="163">
        <v>-1000000</v>
      </c>
      <c r="N32" s="163">
        <v>-1000000</v>
      </c>
      <c r="O32" s="163" t="s">
        <v>848</v>
      </c>
      <c r="P32" s="57" t="s">
        <v>458</v>
      </c>
      <c r="Q32" s="57" t="s">
        <v>471</v>
      </c>
      <c r="R32" s="260"/>
      <c r="S32" s="226"/>
      <c r="T32" s="226"/>
      <c r="U32" s="260"/>
      <c r="V32" s="227"/>
      <c r="W32" s="226"/>
      <c r="X32" s="258"/>
      <c r="Y32" s="226"/>
      <c r="Z32" s="226">
        <v>1</v>
      </c>
      <c r="AA32" s="226">
        <v>2</v>
      </c>
      <c r="AB32" s="226" t="s">
        <v>849</v>
      </c>
      <c r="AC32" s="226" t="s">
        <v>850</v>
      </c>
      <c r="AD32" s="226"/>
      <c r="AE32" s="226"/>
      <c r="AF32" s="265" t="s">
        <v>221</v>
      </c>
      <c r="AG32" s="55" t="s">
        <v>222</v>
      </c>
      <c r="AH32" s="226"/>
      <c r="AI32" s="226"/>
      <c r="AJ32" s="226"/>
      <c r="AK32" s="226"/>
      <c r="AL32" s="226"/>
      <c r="AM32" s="226"/>
      <c r="AN32" s="226"/>
      <c r="AO32" s="226"/>
      <c r="AP32" s="226"/>
      <c r="AQ32" s="226"/>
      <c r="AR32" s="226"/>
      <c r="AS32" s="226"/>
      <c r="AT32" s="226"/>
      <c r="AU32" s="226"/>
      <c r="AV32" s="226"/>
      <c r="AW32" s="226"/>
      <c r="AX32" s="226"/>
      <c r="AY32" s="226"/>
      <c r="AZ32" s="226"/>
      <c r="BA32" s="226"/>
      <c r="BB32" s="226"/>
      <c r="BC32" s="226"/>
      <c r="BD32" s="226"/>
      <c r="BE32" s="226"/>
      <c r="BF32" s="226"/>
      <c r="BG32" s="226"/>
      <c r="BH32" s="226"/>
      <c r="BI32" s="226"/>
      <c r="BJ32" s="226"/>
      <c r="BK32" s="226"/>
      <c r="BL32" s="226"/>
      <c r="BM32" s="226"/>
      <c r="BN32" s="226"/>
      <c r="BO32" s="226"/>
      <c r="BP32" s="226"/>
      <c r="BQ32" s="226"/>
      <c r="BR32" s="226"/>
    </row>
    <row r="33" s="10" customFormat="1" customHeight="1" spans="1:70">
      <c r="A33" s="127"/>
      <c r="B33" s="212" t="s">
        <v>851</v>
      </c>
      <c r="C33" s="127"/>
      <c r="D33" s="214">
        <v>1</v>
      </c>
      <c r="E33" s="163" t="s">
        <v>491</v>
      </c>
      <c r="F33" s="163" t="s">
        <v>256</v>
      </c>
      <c r="G33" s="163" t="s">
        <v>852</v>
      </c>
      <c r="H33" s="163"/>
      <c r="I33" s="163"/>
      <c r="J33" s="163"/>
      <c r="K33" s="163"/>
      <c r="L33" s="163"/>
      <c r="M33" s="163"/>
      <c r="N33" s="163"/>
      <c r="O33" s="163" t="s">
        <v>848</v>
      </c>
      <c r="P33" s="57" t="s">
        <v>458</v>
      </c>
      <c r="Q33" s="57" t="s">
        <v>404</v>
      </c>
      <c r="R33" s="226"/>
      <c r="S33" s="226"/>
      <c r="T33" s="226"/>
      <c r="U33" s="226"/>
      <c r="V33" s="227"/>
      <c r="W33" s="226"/>
      <c r="X33" s="226"/>
      <c r="Y33" s="226"/>
      <c r="Z33" s="226">
        <v>1</v>
      </c>
      <c r="AA33" s="226">
        <v>2</v>
      </c>
      <c r="AB33" s="226" t="s">
        <v>849</v>
      </c>
      <c r="AC33" s="226" t="s">
        <v>850</v>
      </c>
      <c r="AD33" s="226"/>
      <c r="AE33" s="226"/>
      <c r="AF33" s="265" t="s">
        <v>221</v>
      </c>
      <c r="AG33" s="55" t="s">
        <v>222</v>
      </c>
      <c r="AH33" s="226"/>
      <c r="AI33" s="226"/>
      <c r="AJ33" s="226"/>
      <c r="AK33" s="226"/>
      <c r="AL33" s="226"/>
      <c r="AM33" s="226"/>
      <c r="AN33" s="226"/>
      <c r="AO33" s="226"/>
      <c r="AP33" s="226"/>
      <c r="AQ33" s="226"/>
      <c r="AR33" s="226"/>
      <c r="AS33" s="226"/>
      <c r="AT33" s="226"/>
      <c r="AU33" s="226"/>
      <c r="AV33" s="226"/>
      <c r="AW33" s="226"/>
      <c r="AX33" s="226"/>
      <c r="AY33" s="226"/>
      <c r="AZ33" s="226"/>
      <c r="BA33" s="226"/>
      <c r="BB33" s="226"/>
      <c r="BC33" s="226"/>
      <c r="BD33" s="226"/>
      <c r="BE33" s="226"/>
      <c r="BF33" s="226"/>
      <c r="BG33" s="226"/>
      <c r="BH33" s="226"/>
      <c r="BI33" s="226"/>
      <c r="BJ33" s="226"/>
      <c r="BK33" s="226"/>
      <c r="BL33" s="226"/>
      <c r="BM33" s="226"/>
      <c r="BN33" s="226"/>
      <c r="BO33" s="226"/>
      <c r="BP33" s="226"/>
      <c r="BQ33" s="226"/>
      <c r="BR33" s="226"/>
    </row>
    <row r="34" s="11" customFormat="1" customHeight="1" spans="1:70">
      <c r="A34" s="225">
        <v>7</v>
      </c>
      <c r="B34" s="226" t="s">
        <v>853</v>
      </c>
      <c r="C34" s="227" t="s">
        <v>854</v>
      </c>
      <c r="D34" s="214">
        <v>0</v>
      </c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 t="s">
        <v>855</v>
      </c>
      <c r="P34" s="57" t="s">
        <v>493</v>
      </c>
      <c r="Q34" s="57" t="s">
        <v>471</v>
      </c>
      <c r="R34" s="261"/>
      <c r="S34" s="261"/>
      <c r="T34" s="261"/>
      <c r="U34" s="261"/>
      <c r="V34" s="262"/>
      <c r="W34" s="261"/>
      <c r="X34" s="261"/>
      <c r="Y34" s="261"/>
      <c r="Z34" s="163">
        <v>1</v>
      </c>
      <c r="AA34" s="163">
        <v>2</v>
      </c>
      <c r="AB34" s="57" t="s">
        <v>849</v>
      </c>
      <c r="AC34" s="57" t="s">
        <v>850</v>
      </c>
      <c r="AD34" s="57">
        <v>100</v>
      </c>
      <c r="AE34" s="261"/>
      <c r="AF34" s="265" t="s">
        <v>221</v>
      </c>
      <c r="AG34" s="55" t="s">
        <v>222</v>
      </c>
      <c r="AH34" s="261"/>
      <c r="AI34" s="261"/>
      <c r="AJ34" s="173"/>
      <c r="AK34" s="173"/>
      <c r="AL34" s="173"/>
      <c r="AM34" s="173"/>
      <c r="AN34" s="173"/>
      <c r="AO34" s="173"/>
      <c r="AP34" s="173"/>
      <c r="AQ34" s="173"/>
      <c r="AR34" s="173"/>
      <c r="AS34" s="173"/>
      <c r="AT34" s="173"/>
      <c r="AU34" s="173"/>
      <c r="AV34" s="173"/>
      <c r="AW34" s="173"/>
      <c r="AX34" s="173"/>
      <c r="AY34" s="173"/>
      <c r="AZ34" s="173"/>
      <c r="BA34" s="173"/>
      <c r="BB34" s="173"/>
      <c r="BC34" s="173"/>
      <c r="BD34" s="173"/>
      <c r="BE34" s="173"/>
      <c r="BF34" s="173"/>
      <c r="BG34" s="173"/>
      <c r="BH34" s="173"/>
      <c r="BI34" s="173"/>
      <c r="BJ34" s="173"/>
      <c r="BK34" s="173"/>
      <c r="BL34" s="173"/>
      <c r="BM34" s="173"/>
      <c r="BN34" s="173"/>
      <c r="BO34" s="173"/>
      <c r="BP34" s="173"/>
      <c r="BQ34" s="173"/>
      <c r="BR34" s="173"/>
    </row>
    <row r="35" s="11" customFormat="1" customHeight="1" spans="1:70">
      <c r="A35" s="228"/>
      <c r="B35" s="226" t="s">
        <v>856</v>
      </c>
      <c r="C35" s="10"/>
      <c r="D35" s="214">
        <v>1</v>
      </c>
      <c r="E35" s="163" t="s">
        <v>491</v>
      </c>
      <c r="F35" s="163" t="s">
        <v>256</v>
      </c>
      <c r="G35" s="163" t="s">
        <v>852</v>
      </c>
      <c r="H35" s="163"/>
      <c r="I35" s="163"/>
      <c r="J35" s="163"/>
      <c r="K35" s="163">
        <v>100</v>
      </c>
      <c r="L35" s="163"/>
      <c r="M35" s="163"/>
      <c r="N35" s="163"/>
      <c r="O35" s="163" t="s">
        <v>855</v>
      </c>
      <c r="P35" s="57" t="s">
        <v>493</v>
      </c>
      <c r="Q35" s="57" t="s">
        <v>404</v>
      </c>
      <c r="R35" s="261"/>
      <c r="S35" s="261"/>
      <c r="T35" s="261"/>
      <c r="U35" s="261"/>
      <c r="V35" s="262"/>
      <c r="W35" s="261"/>
      <c r="X35" s="261"/>
      <c r="Y35" s="261"/>
      <c r="Z35" s="163">
        <v>1</v>
      </c>
      <c r="AA35" s="57">
        <v>2</v>
      </c>
      <c r="AB35" s="57" t="s">
        <v>849</v>
      </c>
      <c r="AC35" s="57" t="s">
        <v>850</v>
      </c>
      <c r="AD35" s="57">
        <v>100</v>
      </c>
      <c r="AE35" s="261"/>
      <c r="AF35" s="265" t="s">
        <v>221</v>
      </c>
      <c r="AG35" s="55" t="s">
        <v>222</v>
      </c>
      <c r="AH35" s="261"/>
      <c r="AI35" s="261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  <c r="AT35" s="173"/>
      <c r="AU35" s="173"/>
      <c r="AV35" s="173"/>
      <c r="AW35" s="173"/>
      <c r="AX35" s="173"/>
      <c r="AY35" s="173"/>
      <c r="AZ35" s="173"/>
      <c r="BA35" s="173"/>
      <c r="BB35" s="173"/>
      <c r="BC35" s="173"/>
      <c r="BD35" s="173"/>
      <c r="BE35" s="173"/>
      <c r="BF35" s="173"/>
      <c r="BG35" s="173"/>
      <c r="BH35" s="173"/>
      <c r="BI35" s="173"/>
      <c r="BJ35" s="173"/>
      <c r="BK35" s="173"/>
      <c r="BL35" s="173"/>
      <c r="BM35" s="173"/>
      <c r="BN35" s="173"/>
      <c r="BO35" s="173"/>
      <c r="BP35" s="173"/>
      <c r="BQ35" s="173"/>
      <c r="BR35" s="173"/>
    </row>
    <row r="36" s="11" customFormat="1" ht="27.75" customHeight="1" spans="1:70">
      <c r="A36" s="229">
        <v>8</v>
      </c>
      <c r="B36" s="230" t="s">
        <v>857</v>
      </c>
      <c r="C36" s="231" t="s">
        <v>858</v>
      </c>
      <c r="D36" s="214">
        <v>2</v>
      </c>
      <c r="E36" s="163" t="s">
        <v>255</v>
      </c>
      <c r="F36" s="163" t="s">
        <v>256</v>
      </c>
      <c r="G36" s="213" t="s">
        <v>859</v>
      </c>
      <c r="H36" s="163">
        <v>100</v>
      </c>
      <c r="I36" s="163">
        <v>60000</v>
      </c>
      <c r="J36" s="163">
        <v>0.17</v>
      </c>
      <c r="K36" s="163"/>
      <c r="L36" s="163">
        <v>1000000</v>
      </c>
      <c r="M36" s="163">
        <v>1000000</v>
      </c>
      <c r="N36" s="163">
        <v>1000000</v>
      </c>
      <c r="O36" s="163" t="s">
        <v>860</v>
      </c>
      <c r="P36" s="57" t="s">
        <v>412</v>
      </c>
      <c r="Q36" s="57" t="s">
        <v>393</v>
      </c>
      <c r="R36" s="226"/>
      <c r="S36" s="226"/>
      <c r="T36" s="226"/>
      <c r="U36" s="226"/>
      <c r="V36" s="227"/>
      <c r="W36" s="226"/>
      <c r="X36" s="226"/>
      <c r="Y36" s="226"/>
      <c r="Z36" s="226"/>
      <c r="AA36" s="226"/>
      <c r="AB36" s="226"/>
      <c r="AC36" s="226"/>
      <c r="AD36" s="226"/>
      <c r="AE36" s="226"/>
      <c r="AF36" s="265" t="s">
        <v>221</v>
      </c>
      <c r="AG36" s="55" t="s">
        <v>222</v>
      </c>
      <c r="AH36" s="226"/>
      <c r="AI36" s="226"/>
      <c r="AJ36" s="173"/>
      <c r="AK36" s="173"/>
      <c r="AL36" s="173"/>
      <c r="AM36" s="173"/>
      <c r="AN36" s="173"/>
      <c r="AO36" s="173"/>
      <c r="AP36" s="173"/>
      <c r="AQ36" s="173"/>
      <c r="AR36" s="173"/>
      <c r="AS36" s="173"/>
      <c r="AT36" s="173"/>
      <c r="AU36" s="173"/>
      <c r="AV36" s="173"/>
      <c r="AW36" s="173"/>
      <c r="AX36" s="173"/>
      <c r="AY36" s="173"/>
      <c r="AZ36" s="173"/>
      <c r="BA36" s="173"/>
      <c r="BB36" s="173"/>
      <c r="BC36" s="173"/>
      <c r="BD36" s="173"/>
      <c r="BE36" s="173"/>
      <c r="BF36" s="173"/>
      <c r="BG36" s="173"/>
      <c r="BH36" s="173"/>
      <c r="BI36" s="173"/>
      <c r="BJ36" s="173"/>
      <c r="BK36" s="173"/>
      <c r="BL36" s="173"/>
      <c r="BM36" s="173"/>
      <c r="BN36" s="173"/>
      <c r="BO36" s="173"/>
      <c r="BP36" s="173"/>
      <c r="BQ36" s="173"/>
      <c r="BR36" s="173"/>
    </row>
    <row r="37" s="11" customFormat="1" customHeight="1" spans="1:70">
      <c r="A37" s="229"/>
      <c r="B37" s="127"/>
      <c r="C37" s="231"/>
      <c r="D37" s="138"/>
      <c r="E37" s="163" t="s">
        <v>166</v>
      </c>
      <c r="F37" s="163" t="s">
        <v>256</v>
      </c>
      <c r="G37" s="163" t="s">
        <v>802</v>
      </c>
      <c r="H37" s="163"/>
      <c r="I37" s="163"/>
      <c r="J37" s="163"/>
      <c r="K37" s="163"/>
      <c r="L37" s="163"/>
      <c r="M37" s="163"/>
      <c r="N37" s="163"/>
      <c r="O37" s="163"/>
      <c r="P37" s="57"/>
      <c r="Q37" s="57"/>
      <c r="R37" s="226"/>
      <c r="S37" s="226"/>
      <c r="T37" s="226"/>
      <c r="U37" s="226"/>
      <c r="V37" s="227"/>
      <c r="W37" s="226"/>
      <c r="X37" s="226"/>
      <c r="Y37" s="226"/>
      <c r="Z37" s="226"/>
      <c r="AA37" s="226"/>
      <c r="AB37" s="226"/>
      <c r="AC37" s="226"/>
      <c r="AD37" s="226"/>
      <c r="AE37" s="226"/>
      <c r="AF37" s="265"/>
      <c r="AG37" s="55"/>
      <c r="AH37" s="226"/>
      <c r="AI37" s="226"/>
      <c r="AJ37" s="173"/>
      <c r="AK37" s="173"/>
      <c r="AL37" s="173"/>
      <c r="AM37" s="173"/>
      <c r="AN37" s="173"/>
      <c r="AO37" s="173"/>
      <c r="AP37" s="173"/>
      <c r="AQ37" s="173"/>
      <c r="AR37" s="173"/>
      <c r="AS37" s="173"/>
      <c r="AT37" s="173"/>
      <c r="AU37" s="173"/>
      <c r="AV37" s="173"/>
      <c r="AW37" s="173"/>
      <c r="AX37" s="173"/>
      <c r="AY37" s="173"/>
      <c r="AZ37" s="173"/>
      <c r="BA37" s="173"/>
      <c r="BB37" s="173"/>
      <c r="BC37" s="173"/>
      <c r="BD37" s="173"/>
      <c r="BE37" s="173"/>
      <c r="BF37" s="173"/>
      <c r="BG37" s="173"/>
      <c r="BH37" s="173"/>
      <c r="BI37" s="173"/>
      <c r="BJ37" s="173"/>
      <c r="BK37" s="173"/>
      <c r="BL37" s="173"/>
      <c r="BM37" s="173"/>
      <c r="BN37" s="173"/>
      <c r="BO37" s="173"/>
      <c r="BP37" s="173"/>
      <c r="BQ37" s="173"/>
      <c r="BR37" s="173"/>
    </row>
    <row r="38" s="11" customFormat="1" customHeight="1" spans="1:70">
      <c r="A38" s="232"/>
      <c r="B38" s="233" t="s">
        <v>861</v>
      </c>
      <c r="C38" s="234"/>
      <c r="D38" s="214">
        <v>1</v>
      </c>
      <c r="E38" s="163" t="s">
        <v>163</v>
      </c>
      <c r="F38" s="163" t="s">
        <v>295</v>
      </c>
      <c r="G38" s="163" t="s">
        <v>803</v>
      </c>
      <c r="H38" s="163">
        <v>0</v>
      </c>
      <c r="I38" s="163"/>
      <c r="J38" s="163"/>
      <c r="K38" s="163"/>
      <c r="L38" s="163">
        <v>-1000000</v>
      </c>
      <c r="M38" s="163">
        <v>-1000000</v>
      </c>
      <c r="N38" s="163">
        <v>-1000000</v>
      </c>
      <c r="O38" s="163" t="s">
        <v>860</v>
      </c>
      <c r="P38" s="57" t="s">
        <v>412</v>
      </c>
      <c r="Q38" s="57" t="s">
        <v>432</v>
      </c>
      <c r="R38" s="226"/>
      <c r="S38" s="226"/>
      <c r="T38" s="226"/>
      <c r="U38" s="226"/>
      <c r="V38" s="227"/>
      <c r="W38" s="226"/>
      <c r="X38" s="226"/>
      <c r="Y38" s="226"/>
      <c r="Z38" s="226"/>
      <c r="AA38" s="226"/>
      <c r="AB38" s="226"/>
      <c r="AC38" s="226"/>
      <c r="AD38" s="226"/>
      <c r="AE38" s="226"/>
      <c r="AF38" s="265" t="s">
        <v>221</v>
      </c>
      <c r="AG38" s="55" t="s">
        <v>222</v>
      </c>
      <c r="AH38" s="226"/>
      <c r="AI38" s="226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173"/>
      <c r="AU38" s="173"/>
      <c r="AV38" s="173"/>
      <c r="AW38" s="173"/>
      <c r="AX38" s="173"/>
      <c r="AY38" s="173"/>
      <c r="AZ38" s="173"/>
      <c r="BA38" s="173"/>
      <c r="BB38" s="173"/>
      <c r="BC38" s="173"/>
      <c r="BD38" s="173"/>
      <c r="BE38" s="173"/>
      <c r="BF38" s="173"/>
      <c r="BG38" s="173"/>
      <c r="BH38" s="173"/>
      <c r="BI38" s="173"/>
      <c r="BJ38" s="173"/>
      <c r="BK38" s="173"/>
      <c r="BL38" s="173"/>
      <c r="BM38" s="173"/>
      <c r="BN38" s="173"/>
      <c r="BO38" s="173"/>
      <c r="BP38" s="173"/>
      <c r="BQ38" s="173"/>
      <c r="BR38" s="173"/>
    </row>
    <row r="39" s="11" customFormat="1" customHeight="1" spans="1:70">
      <c r="A39" s="232"/>
      <c r="B39" s="233" t="s">
        <v>862</v>
      </c>
      <c r="C39" s="234"/>
      <c r="D39" s="214">
        <v>1</v>
      </c>
      <c r="E39" s="163" t="s">
        <v>163</v>
      </c>
      <c r="F39" s="163" t="s">
        <v>295</v>
      </c>
      <c r="G39" s="163" t="s">
        <v>803</v>
      </c>
      <c r="H39" s="163">
        <v>-100</v>
      </c>
      <c r="I39" s="163"/>
      <c r="J39" s="163"/>
      <c r="K39" s="163"/>
      <c r="L39" s="163">
        <v>-1000000</v>
      </c>
      <c r="M39" s="163">
        <v>-1000000</v>
      </c>
      <c r="N39" s="163">
        <v>-1000000</v>
      </c>
      <c r="O39" s="163" t="s">
        <v>860</v>
      </c>
      <c r="P39" s="57" t="s">
        <v>458</v>
      </c>
      <c r="Q39" s="57" t="s">
        <v>471</v>
      </c>
      <c r="R39" s="226"/>
      <c r="S39" s="226"/>
      <c r="T39" s="226"/>
      <c r="U39" s="226"/>
      <c r="V39" s="227"/>
      <c r="W39" s="226"/>
      <c r="X39" s="226"/>
      <c r="Y39" s="226"/>
      <c r="Z39" s="226"/>
      <c r="AA39" s="226"/>
      <c r="AB39" s="226"/>
      <c r="AC39" s="226"/>
      <c r="AD39" s="226"/>
      <c r="AE39" s="226"/>
      <c r="AF39" s="265" t="s">
        <v>221</v>
      </c>
      <c r="AG39" s="55" t="s">
        <v>222</v>
      </c>
      <c r="AH39" s="226"/>
      <c r="AI39" s="226"/>
      <c r="AJ39" s="173"/>
      <c r="AK39" s="173"/>
      <c r="AL39" s="173"/>
      <c r="AM39" s="173"/>
      <c r="AN39" s="173"/>
      <c r="AO39" s="173"/>
      <c r="AP39" s="173"/>
      <c r="AQ39" s="173"/>
      <c r="AR39" s="173"/>
      <c r="AS39" s="173"/>
      <c r="AT39" s="173"/>
      <c r="AU39" s="173"/>
      <c r="AV39" s="173"/>
      <c r="AW39" s="173"/>
      <c r="AX39" s="173"/>
      <c r="AY39" s="173"/>
      <c r="AZ39" s="173"/>
      <c r="BA39" s="173"/>
      <c r="BB39" s="173"/>
      <c r="BC39" s="173"/>
      <c r="BD39" s="173"/>
      <c r="BE39" s="173"/>
      <c r="BF39" s="173"/>
      <c r="BG39" s="173"/>
      <c r="BH39" s="173"/>
      <c r="BI39" s="173"/>
      <c r="BJ39" s="173"/>
      <c r="BK39" s="173"/>
      <c r="BL39" s="173"/>
      <c r="BM39" s="173"/>
      <c r="BN39" s="173"/>
      <c r="BO39" s="173"/>
      <c r="BP39" s="173"/>
      <c r="BQ39" s="173"/>
      <c r="BR39" s="173"/>
    </row>
    <row r="40" s="11" customFormat="1" customHeight="1" spans="1:70">
      <c r="A40" s="232"/>
      <c r="B40" s="233"/>
      <c r="C40" s="234"/>
      <c r="D40" s="214">
        <v>0</v>
      </c>
      <c r="E40" s="173" t="s">
        <v>829</v>
      </c>
      <c r="F40" s="235"/>
      <c r="G40" s="236"/>
      <c r="H40" s="163"/>
      <c r="I40" s="163"/>
      <c r="J40" s="163"/>
      <c r="K40" s="163"/>
      <c r="L40" s="163"/>
      <c r="M40" s="163"/>
      <c r="N40" s="163"/>
      <c r="O40" s="163" t="s">
        <v>860</v>
      </c>
      <c r="P40" s="57" t="s">
        <v>119</v>
      </c>
      <c r="Q40" s="163" t="s">
        <v>126</v>
      </c>
      <c r="R40" s="226"/>
      <c r="S40" s="226"/>
      <c r="T40" s="226"/>
      <c r="U40" s="226"/>
      <c r="V40" s="227"/>
      <c r="W40" s="226"/>
      <c r="X40" s="226"/>
      <c r="Y40" s="226"/>
      <c r="Z40" s="226"/>
      <c r="AA40" s="226"/>
      <c r="AB40" s="226"/>
      <c r="AC40" s="226"/>
      <c r="AD40" s="226"/>
      <c r="AE40" s="226"/>
      <c r="AF40" s="265" t="s">
        <v>221</v>
      </c>
      <c r="AG40" s="55" t="s">
        <v>222</v>
      </c>
      <c r="AH40" s="226"/>
      <c r="AI40" s="226"/>
      <c r="AJ40" s="173"/>
      <c r="AK40" s="173"/>
      <c r="AL40" s="173"/>
      <c r="AM40" s="173"/>
      <c r="AN40" s="173"/>
      <c r="AO40" s="173"/>
      <c r="AP40" s="173"/>
      <c r="AQ40" s="173"/>
      <c r="AR40" s="173"/>
      <c r="AS40" s="173"/>
      <c r="AT40" s="173"/>
      <c r="AU40" s="173"/>
      <c r="AV40" s="173"/>
      <c r="AW40" s="173"/>
      <c r="AX40" s="173"/>
      <c r="AY40" s="173"/>
      <c r="AZ40" s="173"/>
      <c r="BA40" s="173"/>
      <c r="BB40" s="173"/>
      <c r="BC40" s="173"/>
      <c r="BD40" s="173"/>
      <c r="BE40" s="173"/>
      <c r="BF40" s="173"/>
      <c r="BG40" s="173"/>
      <c r="BH40" s="173"/>
      <c r="BI40" s="173"/>
      <c r="BJ40" s="173"/>
      <c r="BK40" s="173"/>
      <c r="BL40" s="173"/>
      <c r="BM40" s="173"/>
      <c r="BN40" s="173"/>
      <c r="BO40" s="173"/>
      <c r="BP40" s="173"/>
      <c r="BQ40" s="173"/>
      <c r="BR40" s="173"/>
    </row>
    <row r="41" s="11" customFormat="1" customHeight="1" spans="1:70">
      <c r="A41" s="232"/>
      <c r="B41" s="233"/>
      <c r="C41" s="234"/>
      <c r="D41" s="214">
        <v>0</v>
      </c>
      <c r="E41" s="235" t="s">
        <v>829</v>
      </c>
      <c r="F41" s="235"/>
      <c r="G41" s="236"/>
      <c r="H41" s="163"/>
      <c r="I41" s="163"/>
      <c r="J41" s="163"/>
      <c r="K41" s="163"/>
      <c r="L41" s="163"/>
      <c r="M41" s="163"/>
      <c r="N41" s="163"/>
      <c r="O41" s="163" t="s">
        <v>860</v>
      </c>
      <c r="P41" s="57" t="s">
        <v>119</v>
      </c>
      <c r="Q41" s="163" t="s">
        <v>127</v>
      </c>
      <c r="R41" s="226"/>
      <c r="S41" s="226"/>
      <c r="T41" s="226"/>
      <c r="U41" s="226"/>
      <c r="V41" s="227"/>
      <c r="W41" s="226"/>
      <c r="X41" s="226"/>
      <c r="Y41" s="226"/>
      <c r="Z41" s="226"/>
      <c r="AA41" s="226"/>
      <c r="AB41" s="226"/>
      <c r="AC41" s="226"/>
      <c r="AD41" s="226"/>
      <c r="AE41" s="226"/>
      <c r="AF41" s="265" t="s">
        <v>221</v>
      </c>
      <c r="AG41" s="55" t="s">
        <v>222</v>
      </c>
      <c r="AH41" s="226"/>
      <c r="AI41" s="226"/>
      <c r="AJ41" s="173"/>
      <c r="AK41" s="173"/>
      <c r="AL41" s="173"/>
      <c r="AM41" s="173"/>
      <c r="AN41" s="173"/>
      <c r="AO41" s="173"/>
      <c r="AP41" s="173"/>
      <c r="AQ41" s="173"/>
      <c r="AR41" s="173"/>
      <c r="AS41" s="173"/>
      <c r="AT41" s="173"/>
      <c r="AU41" s="173"/>
      <c r="AV41" s="173"/>
      <c r="AW41" s="173"/>
      <c r="AX41" s="173"/>
      <c r="AY41" s="173"/>
      <c r="AZ41" s="173"/>
      <c r="BA41" s="173"/>
      <c r="BB41" s="173"/>
      <c r="BC41" s="173"/>
      <c r="BD41" s="173"/>
      <c r="BE41" s="173"/>
      <c r="BF41" s="173"/>
      <c r="BG41" s="173"/>
      <c r="BH41" s="173"/>
      <c r="BI41" s="173"/>
      <c r="BJ41" s="173"/>
      <c r="BK41" s="173"/>
      <c r="BL41" s="173"/>
      <c r="BM41" s="173"/>
      <c r="BN41" s="173"/>
      <c r="BO41" s="173"/>
      <c r="BP41" s="173"/>
      <c r="BQ41" s="173"/>
      <c r="BR41" s="173"/>
    </row>
    <row r="42" s="11" customFormat="1" customHeight="1" spans="1:70">
      <c r="A42" s="232"/>
      <c r="B42" s="233"/>
      <c r="C42" s="234"/>
      <c r="D42" s="214">
        <v>0</v>
      </c>
      <c r="E42" s="235" t="s">
        <v>829</v>
      </c>
      <c r="F42" s="235"/>
      <c r="G42" s="236"/>
      <c r="H42" s="163"/>
      <c r="I42" s="163"/>
      <c r="J42" s="163"/>
      <c r="K42" s="163"/>
      <c r="L42" s="163"/>
      <c r="M42" s="163"/>
      <c r="N42" s="163"/>
      <c r="O42" s="163" t="s">
        <v>860</v>
      </c>
      <c r="P42" s="57" t="s">
        <v>116</v>
      </c>
      <c r="Q42" s="57"/>
      <c r="R42" s="226"/>
      <c r="S42" s="226"/>
      <c r="T42" s="226"/>
      <c r="U42" s="226"/>
      <c r="V42" s="227"/>
      <c r="W42" s="226"/>
      <c r="X42" s="226"/>
      <c r="Y42" s="226"/>
      <c r="Z42" s="226"/>
      <c r="AA42" s="226"/>
      <c r="AB42" s="226"/>
      <c r="AC42" s="226"/>
      <c r="AD42" s="226"/>
      <c r="AE42" s="226"/>
      <c r="AF42" s="265" t="s">
        <v>221</v>
      </c>
      <c r="AG42" s="55" t="s">
        <v>222</v>
      </c>
      <c r="AH42" s="226"/>
      <c r="AI42" s="226"/>
      <c r="AJ42" s="173"/>
      <c r="AK42" s="173"/>
      <c r="AL42" s="173"/>
      <c r="AM42" s="173"/>
      <c r="AN42" s="173"/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  <c r="AY42" s="173"/>
      <c r="AZ42" s="173"/>
      <c r="BA42" s="173"/>
      <c r="BB42" s="173"/>
      <c r="BC42" s="173"/>
      <c r="BD42" s="173"/>
      <c r="BE42" s="173"/>
      <c r="BF42" s="173"/>
      <c r="BG42" s="173"/>
      <c r="BH42" s="173"/>
      <c r="BI42" s="173"/>
      <c r="BJ42" s="173"/>
      <c r="BK42" s="173"/>
      <c r="BL42" s="173"/>
      <c r="BM42" s="173"/>
      <c r="BN42" s="173"/>
      <c r="BO42" s="173"/>
      <c r="BP42" s="173"/>
      <c r="BQ42" s="173"/>
      <c r="BR42" s="173"/>
    </row>
    <row r="43" s="11" customFormat="1" customHeight="1" spans="1:70">
      <c r="A43" s="232"/>
      <c r="B43" s="233"/>
      <c r="C43" s="234"/>
      <c r="D43" s="214">
        <v>0</v>
      </c>
      <c r="E43" s="235" t="s">
        <v>831</v>
      </c>
      <c r="F43" s="235"/>
      <c r="G43" s="236"/>
      <c r="H43" s="163"/>
      <c r="I43" s="163"/>
      <c r="J43" s="163"/>
      <c r="K43" s="163"/>
      <c r="L43" s="163"/>
      <c r="M43" s="163"/>
      <c r="N43" s="163"/>
      <c r="O43" s="163" t="s">
        <v>860</v>
      </c>
      <c r="P43" s="57" t="s">
        <v>493</v>
      </c>
      <c r="Q43" s="57" t="s">
        <v>471</v>
      </c>
      <c r="R43" s="226"/>
      <c r="S43" s="226"/>
      <c r="T43" s="226"/>
      <c r="U43" s="226"/>
      <c r="V43" s="227"/>
      <c r="W43" s="226"/>
      <c r="X43" s="226"/>
      <c r="Y43" s="226"/>
      <c r="Z43" s="226"/>
      <c r="AA43" s="226"/>
      <c r="AB43" s="226"/>
      <c r="AC43" s="226"/>
      <c r="AD43" s="226"/>
      <c r="AE43" s="226"/>
      <c r="AF43" s="265" t="s">
        <v>221</v>
      </c>
      <c r="AG43" s="55" t="s">
        <v>222</v>
      </c>
      <c r="AH43" s="226"/>
      <c r="AI43" s="226"/>
      <c r="AJ43" s="173"/>
      <c r="AK43" s="173"/>
      <c r="AL43" s="173"/>
      <c r="AM43" s="173"/>
      <c r="AN43" s="173"/>
      <c r="AO43" s="173"/>
      <c r="AP43" s="173"/>
      <c r="AQ43" s="173"/>
      <c r="AR43" s="173"/>
      <c r="AS43" s="173"/>
      <c r="AT43" s="173"/>
      <c r="AU43" s="173"/>
      <c r="AV43" s="173"/>
      <c r="AW43" s="173"/>
      <c r="AX43" s="173"/>
      <c r="AY43" s="173"/>
      <c r="AZ43" s="173"/>
      <c r="BA43" s="173"/>
      <c r="BB43" s="173"/>
      <c r="BC43" s="173"/>
      <c r="BD43" s="173"/>
      <c r="BE43" s="173"/>
      <c r="BF43" s="173"/>
      <c r="BG43" s="173"/>
      <c r="BH43" s="173"/>
      <c r="BI43" s="173"/>
      <c r="BJ43" s="173"/>
      <c r="BK43" s="173"/>
      <c r="BL43" s="173"/>
      <c r="BM43" s="173"/>
      <c r="BN43" s="173"/>
      <c r="BO43" s="173"/>
      <c r="BP43" s="173"/>
      <c r="BQ43" s="173"/>
      <c r="BR43" s="173"/>
    </row>
    <row r="44" s="11" customFormat="1" customHeight="1" spans="1:70">
      <c r="A44" s="232"/>
      <c r="B44" s="233" t="s">
        <v>863</v>
      </c>
      <c r="C44" s="234"/>
      <c r="D44" s="214">
        <v>1</v>
      </c>
      <c r="E44" s="235" t="s">
        <v>491</v>
      </c>
      <c r="F44" s="235" t="s">
        <v>256</v>
      </c>
      <c r="G44" s="163" t="s">
        <v>852</v>
      </c>
      <c r="H44" s="163"/>
      <c r="I44" s="163"/>
      <c r="J44" s="163"/>
      <c r="K44" s="163">
        <v>100</v>
      </c>
      <c r="L44" s="163">
        <v>1000000</v>
      </c>
      <c r="M44" s="163">
        <v>1000000</v>
      </c>
      <c r="N44" s="163">
        <v>1000000</v>
      </c>
      <c r="O44" s="163" t="s">
        <v>860</v>
      </c>
      <c r="P44" s="57" t="s">
        <v>493</v>
      </c>
      <c r="Q44" s="57" t="s">
        <v>404</v>
      </c>
      <c r="R44" s="226"/>
      <c r="S44" s="226"/>
      <c r="T44" s="226"/>
      <c r="U44" s="226"/>
      <c r="V44" s="227"/>
      <c r="W44" s="226"/>
      <c r="X44" s="226"/>
      <c r="Y44" s="226"/>
      <c r="Z44" s="226"/>
      <c r="AA44" s="226"/>
      <c r="AB44" s="226"/>
      <c r="AC44" s="226"/>
      <c r="AD44" s="226"/>
      <c r="AE44" s="226"/>
      <c r="AF44" s="265" t="s">
        <v>221</v>
      </c>
      <c r="AG44" s="55" t="s">
        <v>222</v>
      </c>
      <c r="AH44" s="226"/>
      <c r="AI44" s="226"/>
      <c r="AJ44" s="173"/>
      <c r="AK44" s="173"/>
      <c r="AL44" s="173"/>
      <c r="AM44" s="173"/>
      <c r="AN44" s="173"/>
      <c r="AO44" s="173"/>
      <c r="AP44" s="173"/>
      <c r="AQ44" s="173"/>
      <c r="AR44" s="173"/>
      <c r="AS44" s="173"/>
      <c r="AT44" s="173"/>
      <c r="AU44" s="173"/>
      <c r="AV44" s="173"/>
      <c r="AW44" s="173"/>
      <c r="AX44" s="173"/>
      <c r="AY44" s="173"/>
      <c r="AZ44" s="173"/>
      <c r="BA44" s="173"/>
      <c r="BB44" s="173"/>
      <c r="BC44" s="173"/>
      <c r="BD44" s="173"/>
      <c r="BE44" s="173"/>
      <c r="BF44" s="173"/>
      <c r="BG44" s="173"/>
      <c r="BH44" s="173"/>
      <c r="BI44" s="173"/>
      <c r="BJ44" s="173"/>
      <c r="BK44" s="173"/>
      <c r="BL44" s="173"/>
      <c r="BM44" s="173"/>
      <c r="BN44" s="173"/>
      <c r="BO44" s="173"/>
      <c r="BP44" s="173"/>
      <c r="BQ44" s="173"/>
      <c r="BR44" s="173"/>
    </row>
    <row r="45" s="11" customFormat="1" ht="26.25" customHeight="1" spans="1:70">
      <c r="A45" s="225">
        <v>9</v>
      </c>
      <c r="B45" s="215" t="s">
        <v>864</v>
      </c>
      <c r="C45" s="213" t="s">
        <v>865</v>
      </c>
      <c r="D45" s="214">
        <v>2</v>
      </c>
      <c r="E45" s="163" t="s">
        <v>255</v>
      </c>
      <c r="F45" s="163" t="s">
        <v>256</v>
      </c>
      <c r="G45" s="213" t="s">
        <v>866</v>
      </c>
      <c r="H45" s="163">
        <v>1000</v>
      </c>
      <c r="I45" s="163">
        <v>97300</v>
      </c>
      <c r="J45" s="163">
        <v>1.03</v>
      </c>
      <c r="K45" s="163"/>
      <c r="L45" s="163">
        <v>10000000</v>
      </c>
      <c r="M45" s="163">
        <v>10000000</v>
      </c>
      <c r="N45" s="163">
        <v>10000000</v>
      </c>
      <c r="O45" s="163"/>
      <c r="P45" s="163" t="s">
        <v>392</v>
      </c>
      <c r="Q45" s="163" t="s">
        <v>393</v>
      </c>
      <c r="R45" s="263">
        <v>45817</v>
      </c>
      <c r="S45" s="163" t="s">
        <v>867</v>
      </c>
      <c r="T45" s="163" t="s">
        <v>868</v>
      </c>
      <c r="U45" s="163" t="s">
        <v>800</v>
      </c>
      <c r="V45" s="163" t="s">
        <v>801</v>
      </c>
      <c r="W45" s="163">
        <v>100</v>
      </c>
      <c r="X45" s="163">
        <v>1000</v>
      </c>
      <c r="Y45" s="163"/>
      <c r="Z45" s="163"/>
      <c r="AA45" s="163"/>
      <c r="AB45" s="163"/>
      <c r="AC45" s="163"/>
      <c r="AD45" s="163"/>
      <c r="AE45" s="163"/>
      <c r="AF45" s="163" t="s">
        <v>221</v>
      </c>
      <c r="AG45" s="163" t="s">
        <v>222</v>
      </c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  <c r="AV45" s="163"/>
      <c r="AW45" s="163"/>
      <c r="AX45" s="163"/>
      <c r="AY45" s="163"/>
      <c r="AZ45" s="163"/>
      <c r="BA45" s="163"/>
      <c r="BB45" s="163"/>
      <c r="BC45" s="163"/>
      <c r="BD45" s="163"/>
      <c r="BE45" s="163"/>
      <c r="BF45" s="163"/>
      <c r="BG45" s="163"/>
      <c r="BH45" s="163"/>
      <c r="BI45" s="163"/>
      <c r="BJ45" s="163"/>
      <c r="BK45" s="163"/>
      <c r="BL45" s="163"/>
      <c r="BM45" s="163"/>
      <c r="BN45" s="163"/>
      <c r="BO45" s="163"/>
      <c r="BP45" s="163"/>
      <c r="BQ45" s="163"/>
      <c r="BR45" s="163"/>
    </row>
    <row r="46" s="11" customFormat="1" customHeight="1" spans="1:70">
      <c r="A46" s="225"/>
      <c r="B46" s="116"/>
      <c r="C46" s="163"/>
      <c r="D46" s="138"/>
      <c r="E46" s="163" t="s">
        <v>166</v>
      </c>
      <c r="F46" s="163" t="s">
        <v>256</v>
      </c>
      <c r="G46" s="163" t="s">
        <v>869</v>
      </c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2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  <c r="BD46" s="163"/>
      <c r="BE46" s="163"/>
      <c r="BF46" s="163"/>
      <c r="BG46" s="163"/>
      <c r="BH46" s="163"/>
      <c r="BI46" s="163"/>
      <c r="BJ46" s="163"/>
      <c r="BK46" s="163"/>
      <c r="BL46" s="163"/>
      <c r="BM46" s="163"/>
      <c r="BN46" s="163"/>
      <c r="BO46" s="163"/>
      <c r="BP46" s="163"/>
      <c r="BQ46" s="163"/>
      <c r="BR46" s="163"/>
    </row>
    <row r="47" s="11" customFormat="1" customHeight="1" spans="1:70">
      <c r="A47" s="13"/>
      <c r="B47" s="237" t="s">
        <v>870</v>
      </c>
      <c r="C47" s="163"/>
      <c r="D47" s="214">
        <v>1</v>
      </c>
      <c r="E47" s="163" t="s">
        <v>163</v>
      </c>
      <c r="F47" s="163" t="s">
        <v>256</v>
      </c>
      <c r="G47" s="163" t="s">
        <v>871</v>
      </c>
      <c r="H47" s="163">
        <v>900</v>
      </c>
      <c r="I47" s="163"/>
      <c r="J47" s="163"/>
      <c r="K47" s="163"/>
      <c r="L47" s="163"/>
      <c r="M47" s="163"/>
      <c r="N47" s="163"/>
      <c r="O47" s="163"/>
      <c r="P47" s="163" t="s">
        <v>392</v>
      </c>
      <c r="Q47" s="163" t="s">
        <v>432</v>
      </c>
      <c r="R47" s="263">
        <v>45817</v>
      </c>
      <c r="S47" s="163" t="s">
        <v>867</v>
      </c>
      <c r="T47" s="163" t="s">
        <v>868</v>
      </c>
      <c r="U47" s="163" t="s">
        <v>800</v>
      </c>
      <c r="V47" s="163" t="s">
        <v>801</v>
      </c>
      <c r="W47" s="163">
        <v>100</v>
      </c>
      <c r="X47" s="163">
        <v>100</v>
      </c>
      <c r="Y47" s="163"/>
      <c r="Z47" s="163"/>
      <c r="AA47" s="163"/>
      <c r="AB47" s="163"/>
      <c r="AC47" s="163"/>
      <c r="AD47" s="163"/>
      <c r="AE47" s="163"/>
      <c r="AF47" s="163" t="s">
        <v>221</v>
      </c>
      <c r="AG47" s="163" t="s">
        <v>222</v>
      </c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163"/>
      <c r="BB47" s="163"/>
      <c r="BC47" s="163"/>
      <c r="BD47" s="163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</row>
    <row r="48" s="11" customFormat="1" customHeight="1" spans="1:70">
      <c r="A48" s="13"/>
      <c r="B48" s="237" t="s">
        <v>872</v>
      </c>
      <c r="C48" s="163"/>
      <c r="D48" s="214">
        <v>1</v>
      </c>
      <c r="E48" s="163" t="s">
        <v>163</v>
      </c>
      <c r="F48" s="163"/>
      <c r="G48" s="163" t="s">
        <v>871</v>
      </c>
      <c r="H48" s="163">
        <v>800</v>
      </c>
      <c r="I48" s="163"/>
      <c r="J48" s="163"/>
      <c r="K48" s="163"/>
      <c r="L48" s="163"/>
      <c r="M48" s="163"/>
      <c r="N48" s="163"/>
      <c r="O48" s="163"/>
      <c r="P48" s="163" t="s">
        <v>455</v>
      </c>
      <c r="Q48" s="163" t="s">
        <v>471</v>
      </c>
      <c r="R48" s="263">
        <v>45817</v>
      </c>
      <c r="S48" s="163" t="s">
        <v>867</v>
      </c>
      <c r="T48" s="163" t="s">
        <v>868</v>
      </c>
      <c r="U48" s="163" t="s">
        <v>800</v>
      </c>
      <c r="V48" s="163" t="s">
        <v>810</v>
      </c>
      <c r="W48" s="163">
        <v>100</v>
      </c>
      <c r="X48" s="163">
        <v>100</v>
      </c>
      <c r="Y48" s="163" t="s">
        <v>868</v>
      </c>
      <c r="Z48" s="163"/>
      <c r="AA48" s="163"/>
      <c r="AB48" s="163"/>
      <c r="AC48" s="163"/>
      <c r="AD48" s="163"/>
      <c r="AE48" s="163"/>
      <c r="AF48" s="163" t="s">
        <v>221</v>
      </c>
      <c r="AG48" s="163" t="s">
        <v>222</v>
      </c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</row>
    <row r="49" s="11" customFormat="1" customHeight="1" spans="1:70">
      <c r="A49" s="13"/>
      <c r="B49" s="237" t="s">
        <v>873</v>
      </c>
      <c r="C49" s="163"/>
      <c r="D49" s="214">
        <v>1</v>
      </c>
      <c r="E49" s="163" t="s">
        <v>163</v>
      </c>
      <c r="F49" s="163"/>
      <c r="G49" s="163" t="s">
        <v>871</v>
      </c>
      <c r="H49" s="163">
        <v>700</v>
      </c>
      <c r="I49" s="163"/>
      <c r="J49" s="163"/>
      <c r="K49" s="163"/>
      <c r="L49" s="163"/>
      <c r="M49" s="163"/>
      <c r="N49" s="163"/>
      <c r="O49" s="163"/>
      <c r="P49" s="163" t="s">
        <v>403</v>
      </c>
      <c r="Q49" s="163" t="s">
        <v>471</v>
      </c>
      <c r="R49" s="263">
        <v>45817</v>
      </c>
      <c r="S49" s="163" t="s">
        <v>867</v>
      </c>
      <c r="T49" s="163" t="s">
        <v>868</v>
      </c>
      <c r="U49" s="163" t="s">
        <v>800</v>
      </c>
      <c r="V49" s="163" t="s">
        <v>810</v>
      </c>
      <c r="W49" s="163">
        <v>100</v>
      </c>
      <c r="X49" s="163">
        <v>100</v>
      </c>
      <c r="Y49" s="163"/>
      <c r="Z49" s="163"/>
      <c r="AA49" s="163"/>
      <c r="AB49" s="163"/>
      <c r="AC49" s="163"/>
      <c r="AD49" s="163"/>
      <c r="AE49" s="163"/>
      <c r="AF49" s="163" t="s">
        <v>221</v>
      </c>
      <c r="AG49" s="163" t="s">
        <v>222</v>
      </c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</row>
    <row r="50" s="11" customFormat="1" customHeight="1" spans="1:70">
      <c r="A50" s="13"/>
      <c r="B50" s="237" t="s">
        <v>874</v>
      </c>
      <c r="C50" s="163"/>
      <c r="D50" s="214">
        <v>1</v>
      </c>
      <c r="E50" s="163" t="s">
        <v>163</v>
      </c>
      <c r="F50" s="163"/>
      <c r="G50" s="163" t="s">
        <v>803</v>
      </c>
      <c r="H50" s="163">
        <v>-100</v>
      </c>
      <c r="I50" s="163"/>
      <c r="J50" s="163"/>
      <c r="K50" s="163"/>
      <c r="L50" s="163"/>
      <c r="M50" s="163"/>
      <c r="N50" s="163"/>
      <c r="O50" s="163"/>
      <c r="P50" s="163" t="s">
        <v>412</v>
      </c>
      <c r="Q50" s="163" t="s">
        <v>432</v>
      </c>
      <c r="R50" s="263">
        <v>45817</v>
      </c>
      <c r="S50" s="163" t="s">
        <v>875</v>
      </c>
      <c r="T50" s="163" t="s">
        <v>876</v>
      </c>
      <c r="U50" s="163" t="s">
        <v>800</v>
      </c>
      <c r="V50" s="163" t="s">
        <v>810</v>
      </c>
      <c r="W50" s="163">
        <v>100</v>
      </c>
      <c r="X50" s="163">
        <v>100</v>
      </c>
      <c r="Y50" s="163"/>
      <c r="Z50" s="163"/>
      <c r="AA50" s="163"/>
      <c r="AB50" s="163"/>
      <c r="AC50" s="163"/>
      <c r="AD50" s="163"/>
      <c r="AE50" s="163"/>
      <c r="AF50" s="163" t="s">
        <v>221</v>
      </c>
      <c r="AG50" s="163" t="s">
        <v>222</v>
      </c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</row>
    <row r="51" s="11" customFormat="1" customHeight="1" spans="1:70">
      <c r="A51" s="13"/>
      <c r="B51" s="237" t="s">
        <v>877</v>
      </c>
      <c r="C51" s="163"/>
      <c r="D51" s="214">
        <v>1</v>
      </c>
      <c r="E51" s="163" t="s">
        <v>163</v>
      </c>
      <c r="F51" s="163"/>
      <c r="G51" s="163" t="s">
        <v>803</v>
      </c>
      <c r="H51" s="163">
        <v>-200</v>
      </c>
      <c r="I51" s="163"/>
      <c r="J51" s="163"/>
      <c r="K51" s="163"/>
      <c r="L51" s="163"/>
      <c r="M51" s="163"/>
      <c r="N51" s="163"/>
      <c r="O51" s="163"/>
      <c r="P51" s="163" t="s">
        <v>412</v>
      </c>
      <c r="Q51" s="163" t="s">
        <v>432</v>
      </c>
      <c r="R51" s="263">
        <v>45817</v>
      </c>
      <c r="S51" s="163" t="s">
        <v>875</v>
      </c>
      <c r="T51" s="163" t="s">
        <v>876</v>
      </c>
      <c r="U51" s="163" t="s">
        <v>800</v>
      </c>
      <c r="V51" s="163" t="s">
        <v>810</v>
      </c>
      <c r="W51" s="163">
        <v>100</v>
      </c>
      <c r="X51" s="163">
        <v>100</v>
      </c>
      <c r="Y51" s="163"/>
      <c r="Z51" s="163"/>
      <c r="AA51" s="163"/>
      <c r="AB51" s="163"/>
      <c r="AC51" s="163"/>
      <c r="AD51" s="163"/>
      <c r="AE51" s="163"/>
      <c r="AF51" s="163" t="s">
        <v>221</v>
      </c>
      <c r="AG51" s="163" t="s">
        <v>222</v>
      </c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</row>
    <row r="52" s="11" customFormat="1" customHeight="1" spans="1:70">
      <c r="A52" s="13"/>
      <c r="B52" s="237" t="s">
        <v>878</v>
      </c>
      <c r="C52" s="163"/>
      <c r="D52" s="214">
        <v>1</v>
      </c>
      <c r="E52" s="163" t="s">
        <v>163</v>
      </c>
      <c r="F52" s="163"/>
      <c r="G52" s="163" t="s">
        <v>803</v>
      </c>
      <c r="H52" s="163">
        <v>-300</v>
      </c>
      <c r="I52" s="163"/>
      <c r="J52" s="163"/>
      <c r="K52" s="163"/>
      <c r="L52" s="163"/>
      <c r="M52" s="163"/>
      <c r="N52" s="163"/>
      <c r="O52" s="163"/>
      <c r="P52" s="163" t="s">
        <v>458</v>
      </c>
      <c r="Q52" s="163" t="s">
        <v>471</v>
      </c>
      <c r="R52" s="263">
        <v>45817</v>
      </c>
      <c r="S52" s="163" t="s">
        <v>875</v>
      </c>
      <c r="T52" s="163" t="s">
        <v>876</v>
      </c>
      <c r="U52" s="163" t="s">
        <v>800</v>
      </c>
      <c r="V52" s="163" t="s">
        <v>810</v>
      </c>
      <c r="W52" s="163">
        <v>100</v>
      </c>
      <c r="X52" s="163">
        <v>100</v>
      </c>
      <c r="Y52" s="163" t="s">
        <v>876</v>
      </c>
      <c r="Z52" s="163"/>
      <c r="AA52" s="163"/>
      <c r="AB52" s="163"/>
      <c r="AC52" s="163"/>
      <c r="AD52" s="163"/>
      <c r="AE52" s="163"/>
      <c r="AF52" s="163" t="s">
        <v>221</v>
      </c>
      <c r="AG52" s="163" t="s">
        <v>222</v>
      </c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</row>
    <row r="53" s="11" customFormat="1" customHeight="1" spans="1:70">
      <c r="A53" s="13"/>
      <c r="B53" s="237"/>
      <c r="C53" s="163"/>
      <c r="D53" s="214">
        <v>0</v>
      </c>
      <c r="E53" s="163" t="s">
        <v>879</v>
      </c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 t="s">
        <v>493</v>
      </c>
      <c r="Q53" s="163" t="s">
        <v>471</v>
      </c>
      <c r="R53" s="263">
        <v>45817</v>
      </c>
      <c r="S53" s="163" t="s">
        <v>880</v>
      </c>
      <c r="T53" s="163" t="s">
        <v>881</v>
      </c>
      <c r="U53" s="163" t="s">
        <v>800</v>
      </c>
      <c r="V53" s="163" t="s">
        <v>810</v>
      </c>
      <c r="W53" s="163">
        <v>100</v>
      </c>
      <c r="X53" s="163">
        <v>100</v>
      </c>
      <c r="Y53" s="163"/>
      <c r="Z53" s="163"/>
      <c r="AA53" s="163"/>
      <c r="AB53" s="163"/>
      <c r="AC53" s="163"/>
      <c r="AD53" s="163"/>
      <c r="AE53" s="163"/>
      <c r="AF53" s="163" t="s">
        <v>221</v>
      </c>
      <c r="AG53" s="163" t="s">
        <v>222</v>
      </c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</row>
    <row r="54" s="11" customFormat="1" customHeight="1" spans="1:70">
      <c r="A54" s="13"/>
      <c r="B54" s="237" t="s">
        <v>882</v>
      </c>
      <c r="C54" s="163"/>
      <c r="D54" s="214">
        <v>1</v>
      </c>
      <c r="E54" s="163" t="s">
        <v>491</v>
      </c>
      <c r="F54" s="163"/>
      <c r="G54" s="163" t="s">
        <v>852</v>
      </c>
      <c r="H54" s="163"/>
      <c r="I54" s="163"/>
      <c r="J54" s="163"/>
      <c r="K54" s="163">
        <v>100</v>
      </c>
      <c r="L54" s="163"/>
      <c r="M54" s="163"/>
      <c r="N54" s="163"/>
      <c r="O54" s="163"/>
      <c r="P54" s="163" t="s">
        <v>493</v>
      </c>
      <c r="Q54" s="163" t="s">
        <v>404</v>
      </c>
      <c r="R54" s="263">
        <v>45817</v>
      </c>
      <c r="S54" s="163" t="s">
        <v>880</v>
      </c>
      <c r="T54" s="163" t="s">
        <v>881</v>
      </c>
      <c r="U54" s="163" t="s">
        <v>800</v>
      </c>
      <c r="V54" s="163" t="s">
        <v>810</v>
      </c>
      <c r="W54" s="163">
        <v>100</v>
      </c>
      <c r="X54" s="163">
        <v>100</v>
      </c>
      <c r="Y54" s="163"/>
      <c r="Z54" s="163"/>
      <c r="AA54" s="163"/>
      <c r="AB54" s="163"/>
      <c r="AC54" s="163"/>
      <c r="AD54" s="163"/>
      <c r="AE54" s="163"/>
      <c r="AF54" s="163" t="s">
        <v>221</v>
      </c>
      <c r="AG54" s="163" t="s">
        <v>222</v>
      </c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/>
      <c r="BB54" s="163"/>
      <c r="BC54" s="163"/>
      <c r="BD54" s="163"/>
      <c r="BE54" s="163"/>
      <c r="BF54" s="163"/>
      <c r="BG54" s="163"/>
      <c r="BH54" s="163"/>
      <c r="BI54" s="163"/>
      <c r="BJ54" s="163"/>
      <c r="BK54" s="163"/>
      <c r="BL54" s="163"/>
      <c r="BM54" s="163"/>
      <c r="BN54" s="163"/>
      <c r="BO54" s="163"/>
      <c r="BP54" s="163"/>
      <c r="BQ54" s="163"/>
      <c r="BR54" s="163"/>
    </row>
    <row r="55" s="11" customFormat="1" ht="38.25" customHeight="1" spans="1:70">
      <c r="A55" s="225">
        <v>10</v>
      </c>
      <c r="B55" s="233" t="s">
        <v>883</v>
      </c>
      <c r="C55" s="238" t="s">
        <v>884</v>
      </c>
      <c r="D55" s="214">
        <v>2</v>
      </c>
      <c r="E55" s="163" t="s">
        <v>255</v>
      </c>
      <c r="F55" s="163" t="s">
        <v>256</v>
      </c>
      <c r="G55" s="213" t="s">
        <v>885</v>
      </c>
      <c r="H55" s="163">
        <v>100</v>
      </c>
      <c r="I55" s="163">
        <v>3000</v>
      </c>
      <c r="J55" s="163">
        <v>3.33</v>
      </c>
      <c r="K55" s="163"/>
      <c r="L55" s="163">
        <v>1000000</v>
      </c>
      <c r="M55" s="163">
        <v>1000000</v>
      </c>
      <c r="N55" s="163">
        <v>1000000</v>
      </c>
      <c r="O55" s="163" t="s">
        <v>886</v>
      </c>
      <c r="P55" s="57" t="s">
        <v>392</v>
      </c>
      <c r="Q55" s="163" t="s">
        <v>393</v>
      </c>
      <c r="R55" s="259">
        <v>45817</v>
      </c>
      <c r="S55" s="57" t="s">
        <v>887</v>
      </c>
      <c r="T55" s="247" t="s">
        <v>888</v>
      </c>
      <c r="U55" s="57" t="s">
        <v>800</v>
      </c>
      <c r="V55" s="58" t="s">
        <v>801</v>
      </c>
      <c r="W55" s="57">
        <v>100</v>
      </c>
      <c r="X55" s="235"/>
      <c r="Y55" s="226"/>
      <c r="Z55" s="226"/>
      <c r="AA55" s="226"/>
      <c r="AB55" s="226"/>
      <c r="AC55" s="226"/>
      <c r="AD55" s="226"/>
      <c r="AE55" s="226"/>
      <c r="AF55" s="265" t="s">
        <v>221</v>
      </c>
      <c r="AG55" s="55" t="s">
        <v>222</v>
      </c>
      <c r="AH55" s="226"/>
      <c r="AI55" s="226"/>
      <c r="AJ55" s="173"/>
      <c r="AK55" s="173"/>
      <c r="AL55" s="173"/>
      <c r="AM55" s="173"/>
      <c r="AN55" s="173"/>
      <c r="AO55" s="173"/>
      <c r="AP55" s="173"/>
      <c r="AQ55" s="173"/>
      <c r="AR55" s="173"/>
      <c r="AS55" s="173"/>
      <c r="AT55" s="173"/>
      <c r="AU55" s="173"/>
      <c r="AV55" s="173"/>
      <c r="AW55" s="173"/>
      <c r="AX55" s="173"/>
      <c r="AY55" s="173"/>
      <c r="AZ55" s="173"/>
      <c r="BA55" s="173"/>
      <c r="BB55" s="173"/>
      <c r="BC55" s="173"/>
      <c r="BD55" s="173"/>
      <c r="BE55" s="173"/>
      <c r="BF55" s="173"/>
      <c r="BG55" s="173"/>
      <c r="BH55" s="173"/>
      <c r="BI55" s="173"/>
      <c r="BJ55" s="173"/>
      <c r="BK55" s="173"/>
      <c r="BL55" s="173"/>
      <c r="BM55" s="173"/>
      <c r="BN55" s="173"/>
      <c r="BO55" s="173"/>
      <c r="BP55" s="173"/>
      <c r="BQ55" s="173"/>
      <c r="BR55" s="173"/>
    </row>
    <row r="56" s="11" customFormat="1" customHeight="1" spans="1:70">
      <c r="A56" s="239"/>
      <c r="B56" s="103"/>
      <c r="C56" s="240"/>
      <c r="D56" s="138"/>
      <c r="E56" s="163" t="s">
        <v>166</v>
      </c>
      <c r="F56" s="163" t="s">
        <v>256</v>
      </c>
      <c r="G56" s="213" t="s">
        <v>802</v>
      </c>
      <c r="H56" s="163"/>
      <c r="I56" s="163"/>
      <c r="J56" s="163"/>
      <c r="K56" s="163">
        <v>200</v>
      </c>
      <c r="L56" s="163"/>
      <c r="M56" s="163"/>
      <c r="N56" s="163"/>
      <c r="O56" s="163" t="s">
        <v>886</v>
      </c>
      <c r="P56" s="57" t="s">
        <v>392</v>
      </c>
      <c r="Q56" s="163" t="s">
        <v>393</v>
      </c>
      <c r="R56" s="259"/>
      <c r="S56" s="57"/>
      <c r="T56" s="57"/>
      <c r="U56" s="57"/>
      <c r="V56" s="58"/>
      <c r="W56" s="248"/>
      <c r="X56" s="226"/>
      <c r="Y56" s="226"/>
      <c r="Z56" s="226"/>
      <c r="AA56" s="226"/>
      <c r="AB56" s="226"/>
      <c r="AC56" s="226"/>
      <c r="AD56" s="226"/>
      <c r="AE56" s="226"/>
      <c r="AF56" s="265" t="s">
        <v>221</v>
      </c>
      <c r="AG56" s="55" t="s">
        <v>222</v>
      </c>
      <c r="AH56" s="226"/>
      <c r="AI56" s="226"/>
      <c r="AJ56" s="173"/>
      <c r="AK56" s="173"/>
      <c r="AL56" s="173"/>
      <c r="AM56" s="173"/>
      <c r="AN56" s="173"/>
      <c r="AO56" s="173"/>
      <c r="AP56" s="173"/>
      <c r="AQ56" s="173"/>
      <c r="AR56" s="173"/>
      <c r="AS56" s="173"/>
      <c r="AT56" s="173"/>
      <c r="AU56" s="173"/>
      <c r="AV56" s="173"/>
      <c r="AW56" s="173"/>
      <c r="AX56" s="173"/>
      <c r="AY56" s="173"/>
      <c r="AZ56" s="173"/>
      <c r="BA56" s="173"/>
      <c r="BB56" s="173"/>
      <c r="BC56" s="173"/>
      <c r="BD56" s="173"/>
      <c r="BE56" s="173"/>
      <c r="BF56" s="173"/>
      <c r="BG56" s="173"/>
      <c r="BH56" s="173"/>
      <c r="BI56" s="173"/>
      <c r="BJ56" s="173"/>
      <c r="BK56" s="173"/>
      <c r="BL56" s="173"/>
      <c r="BM56" s="173"/>
      <c r="BN56" s="173"/>
      <c r="BO56" s="173"/>
      <c r="BP56" s="173"/>
      <c r="BQ56" s="173"/>
      <c r="BR56" s="173"/>
    </row>
    <row r="57" s="11" customFormat="1" ht="32.25" customHeight="1" spans="1:70">
      <c r="A57" s="239"/>
      <c r="B57" s="233" t="s">
        <v>889</v>
      </c>
      <c r="C57" s="240"/>
      <c r="D57" s="214">
        <v>2</v>
      </c>
      <c r="E57" s="163" t="s">
        <v>255</v>
      </c>
      <c r="F57" s="163" t="s">
        <v>256</v>
      </c>
      <c r="G57" s="213" t="s">
        <v>890</v>
      </c>
      <c r="H57" s="163">
        <v>200</v>
      </c>
      <c r="I57" s="163">
        <v>3000</v>
      </c>
      <c r="J57" s="163">
        <v>6.67</v>
      </c>
      <c r="K57" s="163"/>
      <c r="L57" s="163">
        <v>1000000</v>
      </c>
      <c r="M57" s="163">
        <v>1000000</v>
      </c>
      <c r="N57" s="163">
        <v>1000000</v>
      </c>
      <c r="O57" s="163" t="s">
        <v>886</v>
      </c>
      <c r="P57" s="57" t="s">
        <v>392</v>
      </c>
      <c r="Q57" s="163" t="s">
        <v>393</v>
      </c>
      <c r="R57" s="259"/>
      <c r="S57" s="57"/>
      <c r="T57" s="57"/>
      <c r="U57" s="57"/>
      <c r="V57" s="58"/>
      <c r="W57" s="248"/>
      <c r="X57" s="226"/>
      <c r="Y57" s="226"/>
      <c r="Z57" s="226"/>
      <c r="AA57" s="226"/>
      <c r="AB57" s="226"/>
      <c r="AC57" s="226"/>
      <c r="AD57" s="226"/>
      <c r="AE57" s="226"/>
      <c r="AF57" s="265" t="s">
        <v>221</v>
      </c>
      <c r="AG57" s="55" t="s">
        <v>222</v>
      </c>
      <c r="AH57" s="226"/>
      <c r="AI57" s="226"/>
      <c r="AJ57" s="173"/>
      <c r="AK57" s="173"/>
      <c r="AL57" s="173"/>
      <c r="AM57" s="173"/>
      <c r="AN57" s="173"/>
      <c r="AO57" s="173"/>
      <c r="AP57" s="173"/>
      <c r="AQ57" s="173"/>
      <c r="AR57" s="173"/>
      <c r="AS57" s="173"/>
      <c r="AT57" s="173"/>
      <c r="AU57" s="173"/>
      <c r="AV57" s="173"/>
      <c r="AW57" s="173"/>
      <c r="AX57" s="173"/>
      <c r="AY57" s="173"/>
      <c r="AZ57" s="173"/>
      <c r="BA57" s="173"/>
      <c r="BB57" s="173"/>
      <c r="BC57" s="173"/>
      <c r="BD57" s="173"/>
      <c r="BE57" s="173"/>
      <c r="BF57" s="173"/>
      <c r="BG57" s="173"/>
      <c r="BH57" s="173"/>
      <c r="BI57" s="173"/>
      <c r="BJ57" s="173"/>
      <c r="BK57" s="173"/>
      <c r="BL57" s="173"/>
      <c r="BM57" s="173"/>
      <c r="BN57" s="173"/>
      <c r="BO57" s="173"/>
      <c r="BP57" s="173"/>
      <c r="BQ57" s="173"/>
      <c r="BR57" s="173"/>
    </row>
    <row r="58" s="11" customFormat="1" customHeight="1" spans="1:70">
      <c r="A58" s="13"/>
      <c r="B58" s="103"/>
      <c r="C58" s="127"/>
      <c r="D58" s="138"/>
      <c r="E58" s="163" t="s">
        <v>166</v>
      </c>
      <c r="F58" s="163" t="s">
        <v>256</v>
      </c>
      <c r="G58" s="213" t="s">
        <v>891</v>
      </c>
      <c r="H58" s="163"/>
      <c r="I58" s="163"/>
      <c r="J58" s="163"/>
      <c r="K58" s="163">
        <v>200</v>
      </c>
      <c r="L58" s="163"/>
      <c r="M58" s="163"/>
      <c r="N58" s="163"/>
      <c r="O58" s="163" t="s">
        <v>886</v>
      </c>
      <c r="P58" s="57" t="s">
        <v>392</v>
      </c>
      <c r="Q58" s="163" t="s">
        <v>393</v>
      </c>
      <c r="R58" s="259">
        <v>45817</v>
      </c>
      <c r="S58" s="57" t="s">
        <v>887</v>
      </c>
      <c r="T58" s="57" t="s">
        <v>888</v>
      </c>
      <c r="U58" s="57" t="s">
        <v>800</v>
      </c>
      <c r="V58" s="58" t="s">
        <v>801</v>
      </c>
      <c r="W58" s="248">
        <v>100</v>
      </c>
      <c r="X58" s="226"/>
      <c r="Y58" s="226"/>
      <c r="Z58" s="226"/>
      <c r="AA58" s="226"/>
      <c r="AB58" s="226"/>
      <c r="AC58" s="226"/>
      <c r="AD58" s="226"/>
      <c r="AE58" s="226"/>
      <c r="AF58" s="265" t="s">
        <v>221</v>
      </c>
      <c r="AG58" s="55" t="s">
        <v>222</v>
      </c>
      <c r="AH58" s="226"/>
      <c r="AI58" s="226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3"/>
      <c r="BC58" s="173"/>
      <c r="BD58" s="173"/>
      <c r="BE58" s="173"/>
      <c r="BF58" s="173"/>
      <c r="BG58" s="173"/>
      <c r="BH58" s="173"/>
      <c r="BI58" s="173"/>
      <c r="BJ58" s="173"/>
      <c r="BK58" s="173"/>
      <c r="BL58" s="173"/>
      <c r="BM58" s="173"/>
      <c r="BN58" s="173"/>
      <c r="BO58" s="173"/>
      <c r="BP58" s="173"/>
      <c r="BQ58" s="173"/>
      <c r="BR58" s="173"/>
    </row>
    <row r="59" s="11" customFormat="1" ht="48" customHeight="1" spans="1:70">
      <c r="A59" s="239"/>
      <c r="B59" s="233" t="s">
        <v>892</v>
      </c>
      <c r="C59" s="240"/>
      <c r="D59" s="214">
        <v>2</v>
      </c>
      <c r="E59" s="163" t="s">
        <v>255</v>
      </c>
      <c r="F59" s="163" t="s">
        <v>256</v>
      </c>
      <c r="G59" s="213" t="s">
        <v>893</v>
      </c>
      <c r="H59" s="163">
        <v>300</v>
      </c>
      <c r="I59" s="163">
        <v>90000</v>
      </c>
      <c r="J59" s="163">
        <v>0.33</v>
      </c>
      <c r="K59" s="163"/>
      <c r="L59" s="163">
        <v>1000000</v>
      </c>
      <c r="M59" s="163">
        <v>1000000</v>
      </c>
      <c r="N59" s="163">
        <v>1000000</v>
      </c>
      <c r="O59" s="163" t="s">
        <v>886</v>
      </c>
      <c r="P59" s="57" t="s">
        <v>412</v>
      </c>
      <c r="Q59" s="163" t="s">
        <v>393</v>
      </c>
      <c r="R59" s="259"/>
      <c r="S59" s="57"/>
      <c r="T59" s="57"/>
      <c r="U59" s="57"/>
      <c r="V59" s="58"/>
      <c r="W59" s="248"/>
      <c r="X59" s="226"/>
      <c r="Y59" s="226"/>
      <c r="Z59" s="226"/>
      <c r="AA59" s="226"/>
      <c r="AB59" s="226"/>
      <c r="AC59" s="226"/>
      <c r="AD59" s="226"/>
      <c r="AE59" s="226"/>
      <c r="AF59" s="265" t="s">
        <v>221</v>
      </c>
      <c r="AG59" s="55" t="s">
        <v>222</v>
      </c>
      <c r="AH59" s="226"/>
      <c r="AI59" s="226"/>
      <c r="AJ59" s="173"/>
      <c r="AK59" s="173"/>
      <c r="AL59" s="173"/>
      <c r="AM59" s="173"/>
      <c r="AN59" s="173"/>
      <c r="AO59" s="173"/>
      <c r="AP59" s="173"/>
      <c r="AQ59" s="173"/>
      <c r="AR59" s="173"/>
      <c r="AS59" s="173"/>
      <c r="AT59" s="173"/>
      <c r="AU59" s="173"/>
      <c r="AV59" s="173"/>
      <c r="AW59" s="173"/>
      <c r="AX59" s="173"/>
      <c r="AY59" s="173"/>
      <c r="AZ59" s="173"/>
      <c r="BA59" s="173"/>
      <c r="BB59" s="173"/>
      <c r="BC59" s="173"/>
      <c r="BD59" s="173"/>
      <c r="BE59" s="173"/>
      <c r="BF59" s="173"/>
      <c r="BG59" s="173"/>
      <c r="BH59" s="173"/>
      <c r="BI59" s="173"/>
      <c r="BJ59" s="173"/>
      <c r="BK59" s="173"/>
      <c r="BL59" s="173"/>
      <c r="BM59" s="173"/>
      <c r="BN59" s="173"/>
      <c r="BO59" s="173"/>
      <c r="BP59" s="173"/>
      <c r="BQ59" s="173"/>
      <c r="BR59" s="173"/>
    </row>
    <row r="60" s="11" customFormat="1" customHeight="1" spans="1:70">
      <c r="A60" s="13"/>
      <c r="B60" s="103"/>
      <c r="C60" s="127"/>
      <c r="D60" s="138"/>
      <c r="E60" s="163" t="s">
        <v>166</v>
      </c>
      <c r="F60" s="163" t="s">
        <v>256</v>
      </c>
      <c r="G60" s="213" t="s">
        <v>894</v>
      </c>
      <c r="H60" s="163"/>
      <c r="I60" s="163"/>
      <c r="J60" s="163"/>
      <c r="K60" s="163">
        <v>300</v>
      </c>
      <c r="L60" s="163"/>
      <c r="M60" s="163"/>
      <c r="N60" s="163"/>
      <c r="O60" s="163" t="s">
        <v>886</v>
      </c>
      <c r="P60" s="57" t="s">
        <v>412</v>
      </c>
      <c r="Q60" s="163" t="s">
        <v>393</v>
      </c>
      <c r="R60" s="259">
        <v>45817</v>
      </c>
      <c r="S60" s="57" t="s">
        <v>895</v>
      </c>
      <c r="T60" s="57" t="s">
        <v>896</v>
      </c>
      <c r="U60" s="57" t="s">
        <v>800</v>
      </c>
      <c r="V60" s="58" t="s">
        <v>810</v>
      </c>
      <c r="W60" s="57">
        <v>100</v>
      </c>
      <c r="X60" s="226"/>
      <c r="Y60" s="226"/>
      <c r="Z60" s="226"/>
      <c r="AA60" s="226"/>
      <c r="AB60" s="226"/>
      <c r="AC60" s="226"/>
      <c r="AD60" s="226"/>
      <c r="AE60" s="226"/>
      <c r="AF60" s="265" t="s">
        <v>221</v>
      </c>
      <c r="AG60" s="55" t="s">
        <v>222</v>
      </c>
      <c r="AH60" s="226"/>
      <c r="AI60" s="226"/>
      <c r="AJ60" s="173"/>
      <c r="AK60" s="173"/>
      <c r="AL60" s="173"/>
      <c r="AM60" s="173"/>
      <c r="AN60" s="173"/>
      <c r="AO60" s="173"/>
      <c r="AP60" s="173"/>
      <c r="AQ60" s="173"/>
      <c r="AR60" s="173"/>
      <c r="AS60" s="173"/>
      <c r="AT60" s="173"/>
      <c r="AU60" s="173"/>
      <c r="AV60" s="173"/>
      <c r="AW60" s="173"/>
      <c r="AX60" s="173"/>
      <c r="AY60" s="173"/>
      <c r="AZ60" s="173"/>
      <c r="BA60" s="173"/>
      <c r="BB60" s="173"/>
      <c r="BC60" s="173"/>
      <c r="BD60" s="173"/>
      <c r="BE60" s="173"/>
      <c r="BF60" s="173"/>
      <c r="BG60" s="173"/>
      <c r="BH60" s="173"/>
      <c r="BI60" s="173"/>
      <c r="BJ60" s="173"/>
      <c r="BK60" s="173"/>
      <c r="BL60" s="173"/>
      <c r="BM60" s="173"/>
      <c r="BN60" s="173"/>
      <c r="BO60" s="173"/>
      <c r="BP60" s="173"/>
      <c r="BQ60" s="173"/>
      <c r="BR60" s="173"/>
    </row>
    <row r="61" s="11" customFormat="1" ht="48.75" customHeight="1" spans="1:70">
      <c r="A61" s="239"/>
      <c r="B61" s="233" t="s">
        <v>897</v>
      </c>
      <c r="C61" s="240"/>
      <c r="D61" s="214">
        <v>2</v>
      </c>
      <c r="E61" s="163" t="s">
        <v>255</v>
      </c>
      <c r="F61" s="163" t="s">
        <v>256</v>
      </c>
      <c r="G61" s="213" t="s">
        <v>898</v>
      </c>
      <c r="H61" s="163">
        <v>400</v>
      </c>
      <c r="I61" s="163">
        <v>90000</v>
      </c>
      <c r="J61" s="163">
        <v>0.44</v>
      </c>
      <c r="K61" s="163"/>
      <c r="L61" s="163">
        <v>1000000</v>
      </c>
      <c r="M61" s="163">
        <v>1000000</v>
      </c>
      <c r="N61" s="163">
        <v>1000000</v>
      </c>
      <c r="O61" s="163" t="s">
        <v>886</v>
      </c>
      <c r="P61" s="57" t="s">
        <v>412</v>
      </c>
      <c r="Q61" s="163" t="s">
        <v>393</v>
      </c>
      <c r="R61" s="259"/>
      <c r="S61" s="57"/>
      <c r="T61" s="57"/>
      <c r="U61" s="57"/>
      <c r="V61" s="58"/>
      <c r="W61" s="57"/>
      <c r="X61" s="226"/>
      <c r="Y61" s="226"/>
      <c r="Z61" s="226"/>
      <c r="AA61" s="226"/>
      <c r="AB61" s="226"/>
      <c r="AC61" s="226"/>
      <c r="AD61" s="226"/>
      <c r="AE61" s="226"/>
      <c r="AF61" s="265" t="s">
        <v>221</v>
      </c>
      <c r="AG61" s="55" t="s">
        <v>222</v>
      </c>
      <c r="AH61" s="226"/>
      <c r="AI61" s="226"/>
      <c r="AJ61" s="173"/>
      <c r="AK61" s="173"/>
      <c r="AL61" s="173"/>
      <c r="AM61" s="173"/>
      <c r="AN61" s="173"/>
      <c r="AO61" s="173"/>
      <c r="AP61" s="173"/>
      <c r="AQ61" s="173"/>
      <c r="AR61" s="173"/>
      <c r="AS61" s="173"/>
      <c r="AT61" s="173"/>
      <c r="AU61" s="173"/>
      <c r="AV61" s="173"/>
      <c r="AW61" s="173"/>
      <c r="AX61" s="173"/>
      <c r="AY61" s="173"/>
      <c r="AZ61" s="173"/>
      <c r="BA61" s="173"/>
      <c r="BB61" s="173"/>
      <c r="BC61" s="173"/>
      <c r="BD61" s="173"/>
      <c r="BE61" s="173"/>
      <c r="BF61" s="173"/>
      <c r="BG61" s="173"/>
      <c r="BH61" s="173"/>
      <c r="BI61" s="173"/>
      <c r="BJ61" s="173"/>
      <c r="BK61" s="173"/>
      <c r="BL61" s="173"/>
      <c r="BM61" s="173"/>
      <c r="BN61" s="173"/>
      <c r="BO61" s="173"/>
      <c r="BP61" s="173"/>
      <c r="BQ61" s="173"/>
      <c r="BR61" s="173"/>
    </row>
    <row r="62" s="11" customFormat="1" customHeight="1" spans="1:70">
      <c r="A62" s="13"/>
      <c r="B62" s="103"/>
      <c r="C62" s="127"/>
      <c r="D62" s="138"/>
      <c r="E62" s="163" t="s">
        <v>166</v>
      </c>
      <c r="F62" s="163" t="s">
        <v>256</v>
      </c>
      <c r="G62" s="163" t="s">
        <v>899</v>
      </c>
      <c r="H62" s="163"/>
      <c r="I62" s="163"/>
      <c r="J62" s="163"/>
      <c r="K62" s="163">
        <v>400</v>
      </c>
      <c r="L62" s="163"/>
      <c r="M62" s="163"/>
      <c r="N62" s="163"/>
      <c r="O62" s="163"/>
      <c r="P62" s="57" t="s">
        <v>412</v>
      </c>
      <c r="Q62" s="163" t="s">
        <v>393</v>
      </c>
      <c r="R62" s="259">
        <v>45817</v>
      </c>
      <c r="S62" s="57" t="s">
        <v>895</v>
      </c>
      <c r="T62" s="57" t="s">
        <v>896</v>
      </c>
      <c r="U62" s="57" t="s">
        <v>800</v>
      </c>
      <c r="V62" s="58" t="s">
        <v>810</v>
      </c>
      <c r="W62" s="57">
        <v>100</v>
      </c>
      <c r="X62" s="226"/>
      <c r="Y62" s="226"/>
      <c r="Z62" s="226"/>
      <c r="AA62" s="226"/>
      <c r="AB62" s="226"/>
      <c r="AC62" s="226"/>
      <c r="AD62" s="226"/>
      <c r="AE62" s="226"/>
      <c r="AF62" s="265" t="s">
        <v>221</v>
      </c>
      <c r="AG62" s="55" t="s">
        <v>222</v>
      </c>
      <c r="AH62" s="226"/>
      <c r="AI62" s="226"/>
      <c r="AJ62" s="173"/>
      <c r="AK62" s="173"/>
      <c r="AL62" s="173"/>
      <c r="AM62" s="173"/>
      <c r="AN62" s="173"/>
      <c r="AO62" s="173"/>
      <c r="AP62" s="173"/>
      <c r="AQ62" s="173"/>
      <c r="AR62" s="173"/>
      <c r="AS62" s="173"/>
      <c r="AT62" s="173"/>
      <c r="AU62" s="173"/>
      <c r="AV62" s="173"/>
      <c r="AW62" s="173"/>
      <c r="AX62" s="173"/>
      <c r="AY62" s="173"/>
      <c r="AZ62" s="173"/>
      <c r="BA62" s="173"/>
      <c r="BB62" s="173"/>
      <c r="BC62" s="173"/>
      <c r="BD62" s="173"/>
      <c r="BE62" s="173"/>
      <c r="BF62" s="173"/>
      <c r="BG62" s="173"/>
      <c r="BH62" s="173"/>
      <c r="BI62" s="173"/>
      <c r="BJ62" s="173"/>
      <c r="BK62" s="173"/>
      <c r="BL62" s="173"/>
      <c r="BM62" s="173"/>
      <c r="BN62" s="173"/>
      <c r="BO62" s="173"/>
      <c r="BP62" s="173"/>
      <c r="BQ62" s="173"/>
      <c r="BR62" s="173"/>
    </row>
    <row r="63" customHeight="1" spans="1:35">
      <c r="A63" s="14"/>
      <c r="B63" s="15"/>
      <c r="C63" s="16"/>
      <c r="D63" s="241"/>
      <c r="E63" s="15"/>
      <c r="F63" s="15"/>
      <c r="G63" s="16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6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</row>
    <row r="64" customHeight="1" spans="1:35">
      <c r="A64" s="14"/>
      <c r="B64" s="15"/>
      <c r="C64" s="16"/>
      <c r="D64" s="148"/>
      <c r="E64" s="15"/>
      <c r="F64" s="15"/>
      <c r="G64" s="16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6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</row>
    <row r="65" customHeight="1" spans="1:35">
      <c r="A65" s="14"/>
      <c r="B65" s="15"/>
      <c r="C65" s="16"/>
      <c r="D65" s="15"/>
      <c r="E65" s="15"/>
      <c r="F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6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</row>
    <row r="66" customHeight="1" spans="1:35">
      <c r="A66" s="14"/>
      <c r="B66" s="15"/>
      <c r="C66" s="16"/>
      <c r="D66" s="15"/>
      <c r="E66" s="15"/>
      <c r="F66" s="15"/>
      <c r="G66" s="16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6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</row>
    <row r="67" customHeight="1" spans="1:35">
      <c r="A67" s="14"/>
      <c r="B67" s="15"/>
      <c r="C67" s="16"/>
      <c r="D67" s="15"/>
      <c r="E67" s="15"/>
      <c r="F67" s="15"/>
      <c r="G67" s="16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6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</row>
    <row r="68" customHeight="1" spans="1:35">
      <c r="A68" s="14"/>
      <c r="B68" s="15"/>
      <c r="C68" s="16"/>
      <c r="D68" s="15"/>
      <c r="E68" s="15"/>
      <c r="F68" s="15"/>
      <c r="G68" s="16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6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</row>
    <row r="69" customHeight="1" spans="1:35">
      <c r="A69" s="14"/>
      <c r="B69" s="15"/>
      <c r="C69" s="16"/>
      <c r="D69" s="15"/>
      <c r="E69" s="15"/>
      <c r="F69" s="15"/>
      <c r="G69" s="16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6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</row>
    <row r="70" customHeight="1" spans="1:35">
      <c r="A70" s="14"/>
      <c r="B70" s="15"/>
      <c r="C70" s="16"/>
      <c r="D70" s="15"/>
      <c r="E70" s="15"/>
      <c r="F70" s="15"/>
      <c r="G70" s="16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6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</row>
    <row r="71" customHeight="1" spans="1:35">
      <c r="A71" s="14"/>
      <c r="B71" s="15"/>
      <c r="C71" s="16"/>
      <c r="D71" s="15"/>
      <c r="E71" s="15"/>
      <c r="F71" s="15"/>
      <c r="G71" s="16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6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</row>
    <row r="72" customHeight="1" spans="1:35">
      <c r="A72" s="14"/>
      <c r="B72" s="15"/>
      <c r="C72" s="16"/>
      <c r="D72" s="15"/>
      <c r="E72" s="15"/>
      <c r="F72" s="15"/>
      <c r="G72" s="16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6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</row>
    <row r="73" customHeight="1" spans="1:35">
      <c r="A73" s="14"/>
      <c r="B73" s="15"/>
      <c r="C73" s="16"/>
      <c r="D73" s="15"/>
      <c r="E73" s="15"/>
      <c r="F73" s="15"/>
      <c r="G73" s="16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6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</row>
    <row r="74" customHeight="1" spans="1:35">
      <c r="A74" s="14"/>
      <c r="B74" s="15"/>
      <c r="C74" s="16"/>
      <c r="D74" s="15"/>
      <c r="E74" s="15"/>
      <c r="F74" s="15"/>
      <c r="G74" s="16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6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</row>
    <row r="75" customHeight="1" spans="1:35">
      <c r="A75" s="14"/>
      <c r="B75" s="15"/>
      <c r="C75" s="16"/>
      <c r="D75" s="15"/>
      <c r="E75" s="15"/>
      <c r="F75" s="15"/>
      <c r="G75" s="16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6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</row>
    <row r="76" customHeight="1" spans="1:35">
      <c r="A76" s="14"/>
      <c r="B76" s="15"/>
      <c r="C76" s="16"/>
      <c r="D76" s="15"/>
      <c r="E76" s="15"/>
      <c r="F76" s="15"/>
      <c r="G76" s="16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6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</row>
    <row r="77" customHeight="1" spans="1:35">
      <c r="A77" s="14"/>
      <c r="B77" s="15"/>
      <c r="C77" s="16"/>
      <c r="D77" s="15"/>
      <c r="E77" s="15"/>
      <c r="F77" s="15"/>
      <c r="G77" s="16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6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</row>
    <row r="78" customHeight="1" spans="1:35">
      <c r="A78" s="14"/>
      <c r="B78" s="15"/>
      <c r="C78" s="16"/>
      <c r="D78" s="15"/>
      <c r="E78" s="15"/>
      <c r="F78" s="15"/>
      <c r="G78" s="16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6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</row>
    <row r="79" customHeight="1" spans="1:35">
      <c r="A79" s="14"/>
      <c r="B79" s="15"/>
      <c r="C79" s="16"/>
      <c r="D79" s="15"/>
      <c r="E79" s="15"/>
      <c r="F79" s="15"/>
      <c r="G79" s="16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6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</row>
    <row r="80" customHeight="1" spans="1:35">
      <c r="A80" s="14"/>
      <c r="B80" s="15"/>
      <c r="C80" s="16"/>
      <c r="D80" s="15"/>
      <c r="E80" s="15"/>
      <c r="F80" s="15"/>
      <c r="G80" s="16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6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</row>
    <row r="81" customHeight="1" spans="1:35">
      <c r="A81" s="14"/>
      <c r="B81" s="15"/>
      <c r="C81" s="16"/>
      <c r="D81" s="15"/>
      <c r="E81" s="15"/>
      <c r="F81" s="15"/>
      <c r="G81" s="16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6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</row>
    <row r="82" customHeight="1" spans="1:35">
      <c r="A82" s="14"/>
      <c r="B82" s="15"/>
      <c r="C82" s="16"/>
      <c r="D82" s="15"/>
      <c r="E82" s="15"/>
      <c r="F82" s="15"/>
      <c r="G82" s="16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6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</row>
    <row r="83" customHeight="1" spans="1:35">
      <c r="A83" s="14"/>
      <c r="B83" s="15"/>
      <c r="C83" s="16"/>
      <c r="D83" s="15"/>
      <c r="E83" s="15"/>
      <c r="F83" s="15"/>
      <c r="G83" s="16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6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</row>
    <row r="84" customHeight="1" spans="1:35">
      <c r="A84" s="14"/>
      <c r="B84" s="15"/>
      <c r="C84" s="16"/>
      <c r="D84" s="15"/>
      <c r="E84" s="15"/>
      <c r="F84" s="15"/>
      <c r="G84" s="16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6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</row>
    <row r="85" customHeight="1" spans="1:35">
      <c r="A85" s="14"/>
      <c r="B85" s="15"/>
      <c r="C85" s="16"/>
      <c r="D85" s="15"/>
      <c r="E85" s="15"/>
      <c r="F85" s="15"/>
      <c r="G85" s="16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6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</row>
    <row r="86" customHeight="1" spans="1:35">
      <c r="A86" s="14"/>
      <c r="B86" s="15"/>
      <c r="C86" s="16"/>
      <c r="D86" s="15"/>
      <c r="E86" s="15"/>
      <c r="F86" s="15"/>
      <c r="G86" s="16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6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</row>
    <row r="87" customHeight="1" spans="1:35">
      <c r="A87" s="14"/>
      <c r="B87" s="15"/>
      <c r="C87" s="16"/>
      <c r="D87" s="15"/>
      <c r="E87" s="15"/>
      <c r="F87" s="15"/>
      <c r="G87" s="16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6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</row>
    <row r="88" customHeight="1" spans="1:35">
      <c r="A88" s="14"/>
      <c r="B88" s="15"/>
      <c r="C88" s="16"/>
      <c r="D88" s="15"/>
      <c r="E88" s="15"/>
      <c r="F88" s="15"/>
      <c r="G88" s="16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6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</row>
    <row r="89" customHeight="1" spans="1:35">
      <c r="A89" s="14"/>
      <c r="B89" s="15"/>
      <c r="C89" s="16"/>
      <c r="D89" s="15"/>
      <c r="E89" s="15"/>
      <c r="F89" s="15"/>
      <c r="G89" s="16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6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</row>
    <row r="90" customHeight="1" spans="1:35">
      <c r="A90" s="14"/>
      <c r="B90" s="15"/>
      <c r="C90" s="16"/>
      <c r="D90" s="15"/>
      <c r="E90" s="15"/>
      <c r="F90" s="15"/>
      <c r="G90" s="16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6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</row>
    <row r="91" customHeight="1" spans="1:35">
      <c r="A91" s="14"/>
      <c r="B91" s="15"/>
      <c r="C91" s="16"/>
      <c r="D91" s="15"/>
      <c r="E91" s="15"/>
      <c r="F91" s="15"/>
      <c r="G91" s="16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6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</row>
    <row r="92" customHeight="1" spans="1:35">
      <c r="A92" s="14"/>
      <c r="B92" s="15"/>
      <c r="C92" s="16"/>
      <c r="D92" s="15"/>
      <c r="E92" s="15"/>
      <c r="F92" s="15"/>
      <c r="G92" s="16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6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</row>
    <row r="93" customHeight="1" spans="1:35">
      <c r="A93" s="14"/>
      <c r="B93" s="15"/>
      <c r="C93" s="16"/>
      <c r="D93" s="15"/>
      <c r="E93" s="15"/>
      <c r="F93" s="15"/>
      <c r="G93" s="16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6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</row>
    <row r="94" customHeight="1" spans="1:35">
      <c r="A94" s="14"/>
      <c r="B94" s="15"/>
      <c r="C94" s="16"/>
      <c r="D94" s="15"/>
      <c r="E94" s="15"/>
      <c r="F94" s="15"/>
      <c r="G94" s="16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6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</row>
    <row r="95" customHeight="1" spans="1:35">
      <c r="A95" s="14"/>
      <c r="B95" s="15"/>
      <c r="C95" s="16"/>
      <c r="D95" s="15"/>
      <c r="E95" s="15"/>
      <c r="F95" s="15"/>
      <c r="G95" s="16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6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</row>
    <row r="96" customHeight="1" spans="1:35">
      <c r="A96" s="14"/>
      <c r="B96" s="15"/>
      <c r="C96" s="16"/>
      <c r="D96" s="15"/>
      <c r="E96" s="15"/>
      <c r="F96" s="15"/>
      <c r="G96" s="16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6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</row>
    <row r="97" customHeight="1" spans="1:35">
      <c r="A97" s="14"/>
      <c r="B97" s="15"/>
      <c r="C97" s="16"/>
      <c r="D97" s="15"/>
      <c r="E97" s="15"/>
      <c r="F97" s="15"/>
      <c r="G97" s="16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6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</row>
    <row r="98" customHeight="1" spans="1:35">
      <c r="A98" s="14"/>
      <c r="B98" s="15"/>
      <c r="C98" s="16"/>
      <c r="D98" s="15"/>
      <c r="E98" s="15"/>
      <c r="F98" s="15"/>
      <c r="G98" s="16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6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</row>
    <row r="99" customHeight="1" spans="1:35">
      <c r="A99" s="14"/>
      <c r="B99" s="15"/>
      <c r="C99" s="16"/>
      <c r="D99" s="15"/>
      <c r="E99" s="15"/>
      <c r="F99" s="15"/>
      <c r="G99" s="16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6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</row>
    <row r="100" customHeight="1" spans="1:35">
      <c r="A100" s="14"/>
      <c r="B100" s="15"/>
      <c r="C100" s="16"/>
      <c r="D100" s="15"/>
      <c r="E100" s="15"/>
      <c r="F100" s="15"/>
      <c r="G100" s="16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6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</row>
    <row r="101" customHeight="1" spans="1:35">
      <c r="A101" s="14"/>
      <c r="B101" s="15"/>
      <c r="C101" s="16"/>
      <c r="D101" s="15"/>
      <c r="E101" s="15"/>
      <c r="F101" s="15"/>
      <c r="G101" s="16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6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</row>
    <row r="102" customHeight="1" spans="1:35">
      <c r="A102" s="14"/>
      <c r="B102" s="15"/>
      <c r="C102" s="16"/>
      <c r="D102" s="15"/>
      <c r="E102" s="15"/>
      <c r="F102" s="15"/>
      <c r="G102" s="16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6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</row>
    <row r="103" customHeight="1" spans="1:35">
      <c r="A103" s="14"/>
      <c r="B103" s="15"/>
      <c r="C103" s="16"/>
      <c r="D103" s="15"/>
      <c r="E103" s="15"/>
      <c r="F103" s="15"/>
      <c r="G103" s="16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6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</row>
    <row r="104" customHeight="1" spans="1:35">
      <c r="A104" s="14"/>
      <c r="B104" s="15"/>
      <c r="C104" s="16"/>
      <c r="D104" s="15"/>
      <c r="E104" s="15"/>
      <c r="F104" s="15"/>
      <c r="G104" s="16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6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</row>
    <row r="105" customHeight="1" spans="1:35">
      <c r="A105" s="14"/>
      <c r="B105" s="15"/>
      <c r="C105" s="16"/>
      <c r="D105" s="15"/>
      <c r="E105" s="15"/>
      <c r="F105" s="15"/>
      <c r="G105" s="16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6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</row>
    <row r="106" customHeight="1" spans="1:35">
      <c r="A106" s="14"/>
      <c r="B106" s="15"/>
      <c r="C106" s="16"/>
      <c r="D106" s="15"/>
      <c r="E106" s="15"/>
      <c r="F106" s="15"/>
      <c r="G106" s="16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6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</row>
    <row r="107" customHeight="1" spans="1:35">
      <c r="A107" s="14"/>
      <c r="B107" s="15"/>
      <c r="C107" s="16"/>
      <c r="D107" s="15"/>
      <c r="E107" s="15"/>
      <c r="F107" s="15"/>
      <c r="G107" s="16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6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</row>
    <row r="108" customHeight="1" spans="1:35">
      <c r="A108" s="14"/>
      <c r="B108" s="15"/>
      <c r="C108" s="16"/>
      <c r="D108" s="15"/>
      <c r="E108" s="15"/>
      <c r="F108" s="15"/>
      <c r="G108" s="16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6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</row>
    <row r="109" customHeight="1" spans="1:35">
      <c r="A109" s="14"/>
      <c r="B109" s="15"/>
      <c r="C109" s="16"/>
      <c r="D109" s="15"/>
      <c r="E109" s="15"/>
      <c r="F109" s="15"/>
      <c r="G109" s="16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6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</row>
    <row r="110" customHeight="1" spans="1:35">
      <c r="A110" s="14"/>
      <c r="B110" s="15"/>
      <c r="C110" s="16"/>
      <c r="D110" s="15"/>
      <c r="E110" s="15"/>
      <c r="F110" s="15"/>
      <c r="G110" s="16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6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</row>
    <row r="111" customHeight="1" spans="1:35">
      <c r="A111" s="14"/>
      <c r="B111" s="15"/>
      <c r="C111" s="16"/>
      <c r="D111" s="15"/>
      <c r="E111" s="15"/>
      <c r="F111" s="15"/>
      <c r="G111" s="16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6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</row>
    <row r="112" customHeight="1" spans="1:35">
      <c r="A112" s="14"/>
      <c r="B112" s="15"/>
      <c r="C112" s="16"/>
      <c r="D112" s="15"/>
      <c r="E112" s="15"/>
      <c r="F112" s="15"/>
      <c r="G112" s="16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6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</row>
    <row r="113" customHeight="1" spans="1:35">
      <c r="A113" s="14"/>
      <c r="B113" s="15"/>
      <c r="C113" s="16"/>
      <c r="D113" s="15"/>
      <c r="E113" s="15"/>
      <c r="F113" s="15"/>
      <c r="G113" s="16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6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</row>
    <row r="114" customHeight="1" spans="1:35">
      <c r="A114" s="14"/>
      <c r="B114" s="15"/>
      <c r="C114" s="16"/>
      <c r="D114" s="15"/>
      <c r="E114" s="15"/>
      <c r="F114" s="15"/>
      <c r="G114" s="16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6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</row>
    <row r="115" customHeight="1" spans="1:35">
      <c r="A115" s="14"/>
      <c r="B115" s="15"/>
      <c r="C115" s="16"/>
      <c r="D115" s="15"/>
      <c r="E115" s="15"/>
      <c r="F115" s="15"/>
      <c r="G115" s="16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6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</row>
    <row r="116" customHeight="1" spans="1:35">
      <c r="A116" s="14"/>
      <c r="B116" s="15"/>
      <c r="C116" s="16"/>
      <c r="D116" s="15"/>
      <c r="E116" s="15"/>
      <c r="F116" s="15"/>
      <c r="G116" s="16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6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</row>
    <row r="117" customHeight="1" spans="1:35">
      <c r="A117" s="14"/>
      <c r="B117" s="15"/>
      <c r="C117" s="16"/>
      <c r="D117" s="15"/>
      <c r="E117" s="15"/>
      <c r="F117" s="15"/>
      <c r="G117" s="16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6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</row>
    <row r="118" customHeight="1" spans="1:35">
      <c r="A118" s="14"/>
      <c r="B118" s="15"/>
      <c r="C118" s="16"/>
      <c r="D118" s="15"/>
      <c r="E118" s="15"/>
      <c r="F118" s="15"/>
      <c r="G118" s="16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6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</row>
    <row r="119" customHeight="1" spans="1:35">
      <c r="A119" s="14"/>
      <c r="B119" s="15"/>
      <c r="C119" s="16"/>
      <c r="D119" s="15"/>
      <c r="E119" s="15"/>
      <c r="F119" s="15"/>
      <c r="G119" s="16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6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</row>
    <row r="120" customHeight="1" spans="1:35">
      <c r="A120" s="14"/>
      <c r="B120" s="15"/>
      <c r="C120" s="16"/>
      <c r="D120" s="15"/>
      <c r="E120" s="15"/>
      <c r="F120" s="15"/>
      <c r="G120" s="16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6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</row>
    <row r="121" customHeight="1" spans="1:35">
      <c r="A121" s="14"/>
      <c r="B121" s="15"/>
      <c r="C121" s="16"/>
      <c r="D121" s="15"/>
      <c r="E121" s="15"/>
      <c r="F121" s="15"/>
      <c r="G121" s="16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6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</row>
    <row r="122" customHeight="1" spans="1:35">
      <c r="A122" s="14"/>
      <c r="B122" s="15"/>
      <c r="C122" s="16"/>
      <c r="D122" s="15"/>
      <c r="E122" s="15"/>
      <c r="F122" s="15"/>
      <c r="G122" s="16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6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</row>
    <row r="123" customHeight="1" spans="1:35">
      <c r="A123" s="14"/>
      <c r="B123" s="15"/>
      <c r="C123" s="16"/>
      <c r="D123" s="15"/>
      <c r="E123" s="15"/>
      <c r="F123" s="15"/>
      <c r="G123" s="16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6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</row>
    <row r="124" customHeight="1" spans="1:35">
      <c r="A124" s="14"/>
      <c r="B124" s="15"/>
      <c r="C124" s="16"/>
      <c r="D124" s="15"/>
      <c r="E124" s="15"/>
      <c r="F124" s="15"/>
      <c r="G124" s="16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6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</row>
    <row r="125" customHeight="1" spans="1:35">
      <c r="A125" s="14"/>
      <c r="B125" s="15"/>
      <c r="C125" s="16"/>
      <c r="D125" s="15"/>
      <c r="E125" s="15"/>
      <c r="F125" s="15"/>
      <c r="G125" s="16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6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</row>
    <row r="126" customHeight="1" spans="1:35">
      <c r="A126" s="14"/>
      <c r="B126" s="15"/>
      <c r="C126" s="16"/>
      <c r="D126" s="15"/>
      <c r="E126" s="15"/>
      <c r="F126" s="15"/>
      <c r="G126" s="16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6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</row>
    <row r="127" customHeight="1" spans="1:35">
      <c r="A127" s="14"/>
      <c r="B127" s="15"/>
      <c r="C127" s="16"/>
      <c r="D127" s="15"/>
      <c r="E127" s="15"/>
      <c r="F127" s="15"/>
      <c r="G127" s="16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6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</row>
    <row r="128" customHeight="1" spans="1:35">
      <c r="A128" s="14"/>
      <c r="B128" s="15"/>
      <c r="C128" s="16"/>
      <c r="D128" s="15"/>
      <c r="E128" s="15"/>
      <c r="F128" s="15"/>
      <c r="G128" s="16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6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</row>
    <row r="129" customHeight="1" spans="1:35">
      <c r="A129" s="14"/>
      <c r="B129" s="15"/>
      <c r="C129" s="16"/>
      <c r="D129" s="15"/>
      <c r="E129" s="15"/>
      <c r="F129" s="15"/>
      <c r="G129" s="16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6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</row>
    <row r="130" customHeight="1" spans="1:35">
      <c r="A130" s="14"/>
      <c r="B130" s="15"/>
      <c r="C130" s="16"/>
      <c r="D130" s="15"/>
      <c r="E130" s="15"/>
      <c r="F130" s="15"/>
      <c r="G130" s="16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6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</row>
    <row r="131" customHeight="1" spans="1:35">
      <c r="A131" s="14"/>
      <c r="B131" s="15"/>
      <c r="C131" s="16"/>
      <c r="D131" s="15"/>
      <c r="E131" s="15"/>
      <c r="F131" s="15"/>
      <c r="G131" s="16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6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</row>
    <row r="132" customHeight="1" spans="1:35">
      <c r="A132" s="14"/>
      <c r="B132" s="15"/>
      <c r="C132" s="16"/>
      <c r="D132" s="15"/>
      <c r="E132" s="15"/>
      <c r="F132" s="15"/>
      <c r="G132" s="16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6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</row>
    <row r="133" customHeight="1" spans="1:35">
      <c r="A133" s="14"/>
      <c r="B133" s="15"/>
      <c r="C133" s="16"/>
      <c r="D133" s="15"/>
      <c r="E133" s="15"/>
      <c r="F133" s="15"/>
      <c r="G133" s="16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6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</row>
    <row r="134" customHeight="1" spans="1:35">
      <c r="A134" s="14"/>
      <c r="B134" s="15"/>
      <c r="C134" s="16"/>
      <c r="D134" s="15"/>
      <c r="E134" s="15"/>
      <c r="F134" s="15"/>
      <c r="G134" s="16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6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</row>
    <row r="135" customHeight="1" spans="1:35">
      <c r="A135" s="14"/>
      <c r="B135" s="15"/>
      <c r="C135" s="16"/>
      <c r="D135" s="15"/>
      <c r="E135" s="15"/>
      <c r="F135" s="15"/>
      <c r="G135" s="16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6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</row>
    <row r="136" customHeight="1" spans="1:35">
      <c r="A136" s="14"/>
      <c r="B136" s="15"/>
      <c r="C136" s="16"/>
      <c r="D136" s="15"/>
      <c r="E136" s="15"/>
      <c r="F136" s="15"/>
      <c r="G136" s="16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6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</row>
    <row r="137" customHeight="1" spans="1:35">
      <c r="A137" s="14"/>
      <c r="B137" s="15"/>
      <c r="C137" s="16"/>
      <c r="D137" s="15"/>
      <c r="E137" s="15"/>
      <c r="F137" s="15"/>
      <c r="G137" s="16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6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</row>
    <row r="138" customHeight="1" spans="1:35">
      <c r="A138" s="14"/>
      <c r="B138" s="15"/>
      <c r="C138" s="16"/>
      <c r="D138" s="15"/>
      <c r="E138" s="15"/>
      <c r="F138" s="15"/>
      <c r="G138" s="16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6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</row>
    <row r="139" customHeight="1" spans="1:35">
      <c r="A139" s="14"/>
      <c r="B139" s="15"/>
      <c r="C139" s="16"/>
      <c r="D139" s="15"/>
      <c r="E139" s="15"/>
      <c r="F139" s="15"/>
      <c r="G139" s="16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6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</row>
    <row r="140" customHeight="1" spans="1:35">
      <c r="A140" s="14"/>
      <c r="B140" s="15"/>
      <c r="C140" s="16"/>
      <c r="D140" s="15"/>
      <c r="E140" s="15"/>
      <c r="F140" s="15"/>
      <c r="G140" s="16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6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</row>
    <row r="141" customHeight="1" spans="1:35">
      <c r="A141" s="14"/>
      <c r="B141" s="15"/>
      <c r="C141" s="16"/>
      <c r="D141" s="15"/>
      <c r="E141" s="15"/>
      <c r="F141" s="15"/>
      <c r="G141" s="16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6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</row>
    <row r="142" customHeight="1" spans="1:35">
      <c r="A142" s="14"/>
      <c r="B142" s="15"/>
      <c r="C142" s="16"/>
      <c r="D142" s="15"/>
      <c r="E142" s="15"/>
      <c r="F142" s="15"/>
      <c r="G142" s="16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6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</row>
    <row r="143" customHeight="1" spans="1:35">
      <c r="A143" s="14"/>
      <c r="B143" s="15"/>
      <c r="C143" s="16"/>
      <c r="D143" s="15"/>
      <c r="E143" s="15"/>
      <c r="F143" s="15"/>
      <c r="G143" s="16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6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</row>
    <row r="144" customHeight="1" spans="1:35">
      <c r="A144" s="14"/>
      <c r="B144" s="15"/>
      <c r="C144" s="16"/>
      <c r="D144" s="15"/>
      <c r="E144" s="15"/>
      <c r="F144" s="15"/>
      <c r="G144" s="16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6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</row>
    <row r="145" customHeight="1" spans="1:35">
      <c r="A145" s="14"/>
      <c r="B145" s="15"/>
      <c r="C145" s="16"/>
      <c r="D145" s="15"/>
      <c r="E145" s="15"/>
      <c r="F145" s="15"/>
      <c r="G145" s="16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6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</row>
    <row r="146" customHeight="1" spans="1:35">
      <c r="A146" s="14"/>
      <c r="B146" s="15"/>
      <c r="C146" s="16"/>
      <c r="D146" s="15"/>
      <c r="E146" s="15"/>
      <c r="F146" s="15"/>
      <c r="G146" s="16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6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</row>
    <row r="147" customHeight="1" spans="1:35">
      <c r="A147" s="14"/>
      <c r="B147" s="15"/>
      <c r="C147" s="16"/>
      <c r="D147" s="15"/>
      <c r="E147" s="15"/>
      <c r="F147" s="15"/>
      <c r="G147" s="16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6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</row>
    <row r="148" customHeight="1" spans="1:35">
      <c r="A148" s="14"/>
      <c r="B148" s="15"/>
      <c r="C148" s="16"/>
      <c r="D148" s="15"/>
      <c r="E148" s="15"/>
      <c r="F148" s="15"/>
      <c r="G148" s="16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6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</row>
    <row r="149" customHeight="1" spans="1:35">
      <c r="A149" s="14"/>
      <c r="B149" s="15"/>
      <c r="C149" s="16"/>
      <c r="D149" s="15"/>
      <c r="E149" s="15"/>
      <c r="F149" s="15"/>
      <c r="G149" s="16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6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</row>
    <row r="150" customHeight="1" spans="1:35">
      <c r="A150" s="14"/>
      <c r="B150" s="15"/>
      <c r="C150" s="16"/>
      <c r="D150" s="15"/>
      <c r="E150" s="15"/>
      <c r="F150" s="15"/>
      <c r="G150" s="16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6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</row>
    <row r="151" customHeight="1" spans="1:35">
      <c r="A151" s="14"/>
      <c r="B151" s="15"/>
      <c r="C151" s="16"/>
      <c r="D151" s="15"/>
      <c r="E151" s="15"/>
      <c r="F151" s="15"/>
      <c r="G151" s="16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6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</row>
    <row r="152" customHeight="1" spans="1:35">
      <c r="A152" s="14"/>
      <c r="B152" s="15"/>
      <c r="C152" s="16"/>
      <c r="D152" s="15"/>
      <c r="E152" s="15"/>
      <c r="F152" s="15"/>
      <c r="G152" s="16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6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</row>
    <row r="153" customHeight="1" spans="1:35">
      <c r="A153" s="14"/>
      <c r="B153" s="15"/>
      <c r="C153" s="16"/>
      <c r="D153" s="15"/>
      <c r="E153" s="15"/>
      <c r="F153" s="15"/>
      <c r="G153" s="16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6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</row>
    <row r="154" customHeight="1" spans="1:35">
      <c r="A154" s="14"/>
      <c r="B154" s="15"/>
      <c r="C154" s="16"/>
      <c r="D154" s="15"/>
      <c r="E154" s="15"/>
      <c r="F154" s="15"/>
      <c r="G154" s="16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6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</row>
    <row r="155" customHeight="1" spans="1:35">
      <c r="A155" s="14"/>
      <c r="B155" s="15"/>
      <c r="C155" s="16"/>
      <c r="D155" s="15"/>
      <c r="E155" s="15"/>
      <c r="F155" s="15"/>
      <c r="G155" s="16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6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</row>
    <row r="156" customHeight="1" spans="1:35">
      <c r="A156" s="14"/>
      <c r="B156" s="15"/>
      <c r="C156" s="16"/>
      <c r="D156" s="15"/>
      <c r="E156" s="15"/>
      <c r="F156" s="15"/>
      <c r="G156" s="16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6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</row>
    <row r="157" customHeight="1" spans="1:35">
      <c r="A157" s="14"/>
      <c r="B157" s="15"/>
      <c r="C157" s="16"/>
      <c r="D157" s="15"/>
      <c r="E157" s="15"/>
      <c r="F157" s="15"/>
      <c r="G157" s="16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6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</row>
    <row r="158" customHeight="1" spans="1:35">
      <c r="A158" s="14"/>
      <c r="B158" s="15"/>
      <c r="C158" s="16"/>
      <c r="D158" s="15"/>
      <c r="E158" s="15"/>
      <c r="F158" s="15"/>
      <c r="G158" s="16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6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</row>
    <row r="159" customHeight="1" spans="1:35">
      <c r="A159" s="14"/>
      <c r="B159" s="15"/>
      <c r="C159" s="16"/>
      <c r="D159" s="15"/>
      <c r="E159" s="15"/>
      <c r="F159" s="15"/>
      <c r="G159" s="16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6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</row>
    <row r="160" customHeight="1" spans="1:35">
      <c r="A160" s="14"/>
      <c r="B160" s="15"/>
      <c r="C160" s="16"/>
      <c r="D160" s="15"/>
      <c r="E160" s="15"/>
      <c r="F160" s="15"/>
      <c r="G160" s="16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6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</row>
    <row r="161" customHeight="1" spans="1:35">
      <c r="A161" s="14"/>
      <c r="B161" s="15"/>
      <c r="C161" s="16"/>
      <c r="D161" s="15"/>
      <c r="E161" s="15"/>
      <c r="F161" s="15"/>
      <c r="G161" s="16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6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</row>
    <row r="162" customHeight="1" spans="1:35">
      <c r="A162" s="14"/>
      <c r="B162" s="15"/>
      <c r="C162" s="16"/>
      <c r="D162" s="15"/>
      <c r="E162" s="15"/>
      <c r="F162" s="15"/>
      <c r="G162" s="16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6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</row>
    <row r="163" customHeight="1" spans="1:35">
      <c r="A163" s="14"/>
      <c r="B163" s="15"/>
      <c r="C163" s="16"/>
      <c r="D163" s="15"/>
      <c r="E163" s="15"/>
      <c r="F163" s="15"/>
      <c r="G163" s="16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6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</row>
    <row r="164" customHeight="1" spans="1:35">
      <c r="A164" s="14"/>
      <c r="B164" s="15"/>
      <c r="C164" s="16"/>
      <c r="D164" s="15"/>
      <c r="E164" s="15"/>
      <c r="F164" s="15"/>
      <c r="G164" s="16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6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</row>
    <row r="165" customHeight="1" spans="1:35">
      <c r="A165" s="14"/>
      <c r="B165" s="15"/>
      <c r="C165" s="16"/>
      <c r="D165" s="15"/>
      <c r="E165" s="15"/>
      <c r="F165" s="15"/>
      <c r="G165" s="16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6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</row>
    <row r="166" customHeight="1" spans="1:35">
      <c r="A166" s="14"/>
      <c r="B166" s="15"/>
      <c r="C166" s="16"/>
      <c r="D166" s="15"/>
      <c r="E166" s="15"/>
      <c r="F166" s="15"/>
      <c r="G166" s="16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6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</row>
    <row r="167" customHeight="1" spans="1:35">
      <c r="A167" s="14"/>
      <c r="B167" s="15"/>
      <c r="C167" s="16"/>
      <c r="D167" s="15"/>
      <c r="E167" s="15"/>
      <c r="F167" s="15"/>
      <c r="G167" s="16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6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</row>
    <row r="168" customHeight="1" spans="1:35">
      <c r="A168" s="14"/>
      <c r="B168" s="15"/>
      <c r="C168" s="16"/>
      <c r="D168" s="15"/>
      <c r="E168" s="15"/>
      <c r="F168" s="15"/>
      <c r="G168" s="16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6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</row>
    <row r="169" customHeight="1" spans="1:35">
      <c r="A169" s="14"/>
      <c r="B169" s="15"/>
      <c r="C169" s="16"/>
      <c r="D169" s="15"/>
      <c r="E169" s="15"/>
      <c r="F169" s="15"/>
      <c r="G169" s="16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6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</row>
    <row r="170" customHeight="1" spans="1:35">
      <c r="A170" s="14"/>
      <c r="B170" s="15"/>
      <c r="C170" s="16"/>
      <c r="D170" s="15"/>
      <c r="E170" s="15"/>
      <c r="F170" s="15"/>
      <c r="G170" s="16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6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</row>
    <row r="171" customHeight="1" spans="1:35">
      <c r="A171" s="14"/>
      <c r="B171" s="15"/>
      <c r="C171" s="16"/>
      <c r="D171" s="15"/>
      <c r="E171" s="15"/>
      <c r="F171" s="15"/>
      <c r="G171" s="16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6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</row>
    <row r="172" customHeight="1" spans="1:35">
      <c r="A172" s="14"/>
      <c r="B172" s="15"/>
      <c r="C172" s="16"/>
      <c r="D172" s="15"/>
      <c r="E172" s="15"/>
      <c r="F172" s="15"/>
      <c r="G172" s="16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6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</row>
    <row r="173" customHeight="1" spans="1:35">
      <c r="A173" s="14"/>
      <c r="B173" s="15"/>
      <c r="C173" s="16"/>
      <c r="D173" s="15"/>
      <c r="E173" s="15"/>
      <c r="F173" s="15"/>
      <c r="G173" s="16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6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</row>
    <row r="174" customHeight="1" spans="1:35">
      <c r="A174" s="14"/>
      <c r="B174" s="15"/>
      <c r="C174" s="16"/>
      <c r="D174" s="15"/>
      <c r="E174" s="15"/>
      <c r="F174" s="15"/>
      <c r="G174" s="16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6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</row>
    <row r="175" customHeight="1" spans="1:35">
      <c r="A175" s="14"/>
      <c r="B175" s="15"/>
      <c r="C175" s="16"/>
      <c r="D175" s="15"/>
      <c r="E175" s="15"/>
      <c r="F175" s="15"/>
      <c r="G175" s="16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6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</row>
    <row r="176" customHeight="1" spans="1:35">
      <c r="A176" s="14"/>
      <c r="B176" s="15"/>
      <c r="C176" s="16"/>
      <c r="D176" s="15"/>
      <c r="E176" s="15"/>
      <c r="F176" s="15"/>
      <c r="G176" s="16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6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</row>
    <row r="177" customHeight="1" spans="1:35">
      <c r="A177" s="14"/>
      <c r="B177" s="15"/>
      <c r="C177" s="16"/>
      <c r="D177" s="15"/>
      <c r="E177" s="15"/>
      <c r="F177" s="15"/>
      <c r="G177" s="16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6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</row>
    <row r="178" customHeight="1" spans="1:35">
      <c r="A178" s="14"/>
      <c r="B178" s="15"/>
      <c r="C178" s="16"/>
      <c r="D178" s="15"/>
      <c r="E178" s="15"/>
      <c r="F178" s="15"/>
      <c r="G178" s="16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6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</row>
    <row r="179" customHeight="1" spans="1:35">
      <c r="A179" s="14"/>
      <c r="B179" s="15"/>
      <c r="C179" s="16"/>
      <c r="D179" s="15"/>
      <c r="E179" s="15"/>
      <c r="F179" s="15"/>
      <c r="G179" s="16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6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</row>
    <row r="180" customHeight="1" spans="1:35">
      <c r="A180" s="14"/>
      <c r="B180" s="15"/>
      <c r="C180" s="16"/>
      <c r="D180" s="15"/>
      <c r="E180" s="15"/>
      <c r="F180" s="15"/>
      <c r="G180" s="16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6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</row>
    <row r="181" customHeight="1" spans="1:35">
      <c r="A181" s="14"/>
      <c r="B181" s="15"/>
      <c r="C181" s="16"/>
      <c r="D181" s="15"/>
      <c r="E181" s="15"/>
      <c r="F181" s="15"/>
      <c r="G181" s="16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6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</row>
    <row r="182" customHeight="1" spans="1:35">
      <c r="A182" s="14"/>
      <c r="B182" s="15"/>
      <c r="C182" s="16"/>
      <c r="D182" s="15"/>
      <c r="E182" s="15"/>
      <c r="F182" s="15"/>
      <c r="G182" s="16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6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</row>
    <row r="183" customHeight="1" spans="1:35">
      <c r="A183" s="14"/>
      <c r="B183" s="15"/>
      <c r="C183" s="16"/>
      <c r="D183" s="15"/>
      <c r="E183" s="15"/>
      <c r="F183" s="15"/>
      <c r="G183" s="16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6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</row>
    <row r="184" customHeight="1" spans="1:35">
      <c r="A184" s="14"/>
      <c r="B184" s="15"/>
      <c r="C184" s="16"/>
      <c r="D184" s="15"/>
      <c r="E184" s="15"/>
      <c r="F184" s="15"/>
      <c r="G184" s="16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6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</row>
    <row r="185" customHeight="1" spans="1:35">
      <c r="A185" s="14"/>
      <c r="B185" s="15"/>
      <c r="C185" s="16"/>
      <c r="D185" s="15"/>
      <c r="E185" s="15"/>
      <c r="F185" s="15"/>
      <c r="G185" s="16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6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</row>
    <row r="186" customHeight="1" spans="1:35">
      <c r="A186" s="14"/>
      <c r="B186" s="15"/>
      <c r="C186" s="16"/>
      <c r="D186" s="15"/>
      <c r="E186" s="15"/>
      <c r="F186" s="15"/>
      <c r="G186" s="16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6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</row>
  </sheetData>
  <autoFilter xmlns:etc="http://www.wps.cn/officeDocument/2017/etCustomData" ref="P1:AE62" etc:filterBottomFollowUsedRange="0">
    <extLst/>
  </autoFilter>
  <mergeCells count="44">
    <mergeCell ref="A2:A7"/>
    <mergeCell ref="A8:A13"/>
    <mergeCell ref="A14:A17"/>
    <mergeCell ref="A18:A25"/>
    <mergeCell ref="A26:A31"/>
    <mergeCell ref="A32:A33"/>
    <mergeCell ref="A34:A35"/>
    <mergeCell ref="A36:A44"/>
    <mergeCell ref="A45:A54"/>
    <mergeCell ref="A55:A62"/>
    <mergeCell ref="B2:B3"/>
    <mergeCell ref="B5:B6"/>
    <mergeCell ref="B9:B10"/>
    <mergeCell ref="B12:B13"/>
    <mergeCell ref="B18:B19"/>
    <mergeCell ref="B26:B27"/>
    <mergeCell ref="B36:B37"/>
    <mergeCell ref="B45:B46"/>
    <mergeCell ref="B55:B56"/>
    <mergeCell ref="B57:B58"/>
    <mergeCell ref="B59:B60"/>
    <mergeCell ref="B61:B62"/>
    <mergeCell ref="C2:C7"/>
    <mergeCell ref="C8:C13"/>
    <mergeCell ref="C14:C17"/>
    <mergeCell ref="C18:C25"/>
    <mergeCell ref="C26:C31"/>
    <mergeCell ref="C32:C33"/>
    <mergeCell ref="C34:C35"/>
    <mergeCell ref="C36:C44"/>
    <mergeCell ref="C55:C62"/>
    <mergeCell ref="D2:D3"/>
    <mergeCell ref="D5:D6"/>
    <mergeCell ref="D9:D10"/>
    <mergeCell ref="D12:D13"/>
    <mergeCell ref="D18:D19"/>
    <mergeCell ref="D26:D27"/>
    <mergeCell ref="D28:D29"/>
    <mergeCell ref="D36:D37"/>
    <mergeCell ref="D45:D46"/>
    <mergeCell ref="D55:D56"/>
    <mergeCell ref="D57:D58"/>
    <mergeCell ref="D59:D60"/>
    <mergeCell ref="D61:D6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基金-风控自动化测试（一期）"/>
  <dimension ref="A1:BT18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8" customHeight="1"/>
  <cols>
    <col min="1" max="1" width="6.61111111111111" style="106" customWidth="1"/>
    <col min="2" max="2" width="11.8703703703704" customWidth="1"/>
    <col min="3" max="3" width="20.0925925925926" style="1" customWidth="1"/>
    <col min="4" max="4" width="10.6481481481481" customWidth="1"/>
    <col min="5" max="5" width="19.0092592592593" customWidth="1"/>
    <col min="6" max="6" width="9.44444444444444" customWidth="1"/>
    <col min="7" max="7" width="48.1481481481481" customWidth="1"/>
    <col min="8" max="8" width="9.57407407407407" customWidth="1"/>
    <col min="9" max="9" width="11.7314814814815" style="130" customWidth="1"/>
    <col min="10" max="11" width="10.1111111111111" style="130" customWidth="1"/>
    <col min="12" max="12" width="9.84259259259259" style="130" customWidth="1"/>
    <col min="13" max="14" width="15.2407407407407" customWidth="1"/>
    <col min="15" max="15" width="9.98148148148148" customWidth="1"/>
    <col min="16" max="16" width="12.9444444444444" customWidth="1"/>
    <col min="17" max="17" width="5.93518518518519" customWidth="1"/>
    <col min="18" max="18" width="8.22222222222222" customWidth="1"/>
    <col min="19" max="19" width="7.5462962962963" customWidth="1"/>
    <col min="20" max="20" width="9.2962962962963" customWidth="1"/>
    <col min="21" max="21" width="13.712962962963" customWidth="1"/>
    <col min="22" max="22" width="11.8703703703704" customWidth="1"/>
    <col min="23" max="23" width="26.4351851851852" customWidth="1"/>
    <col min="24" max="24" width="17.712962962963" customWidth="1"/>
    <col min="25" max="25" width="19.712962962963" customWidth="1"/>
    <col min="26" max="26" width="9.57407407407407" customWidth="1"/>
    <col min="27" max="27" width="23.712962962963" customWidth="1"/>
    <col min="28" max="28" width="26.0277777777778" customWidth="1"/>
    <col min="29" max="29" width="16.3240740740741" customWidth="1"/>
    <col min="30" max="31" width="10.712962962963" customWidth="1"/>
    <col min="32" max="32" width="15.7777777777778" customWidth="1"/>
    <col min="33" max="48" width="10.712962962963" customWidth="1"/>
    <col min="49" max="49" width="21.712962962963" customWidth="1"/>
  </cols>
  <sheetData>
    <row r="1" ht="60.75" customHeight="1" spans="1:49">
      <c r="A1" s="131" t="s">
        <v>793</v>
      </c>
      <c r="B1" s="131" t="s">
        <v>794</v>
      </c>
      <c r="C1" s="132" t="s">
        <v>795</v>
      </c>
      <c r="D1" s="131" t="s">
        <v>796</v>
      </c>
      <c r="E1" s="131" t="s">
        <v>244</v>
      </c>
      <c r="F1" s="131" t="s">
        <v>245</v>
      </c>
      <c r="G1" s="131" t="s">
        <v>651</v>
      </c>
      <c r="H1" s="132" t="s">
        <v>900</v>
      </c>
      <c r="I1" s="155" t="s">
        <v>901</v>
      </c>
      <c r="J1" s="155" t="s">
        <v>182</v>
      </c>
      <c r="K1" s="155" t="s">
        <v>183</v>
      </c>
      <c r="L1" s="155" t="s">
        <v>184</v>
      </c>
      <c r="M1" s="156" t="s">
        <v>147</v>
      </c>
      <c r="N1" s="157" t="s">
        <v>374</v>
      </c>
      <c r="O1" s="158" t="s">
        <v>375</v>
      </c>
      <c r="P1" s="156" t="s">
        <v>209</v>
      </c>
      <c r="Q1" s="156" t="s">
        <v>210</v>
      </c>
      <c r="R1" s="156" t="s">
        <v>211</v>
      </c>
      <c r="S1" s="158" t="s">
        <v>212</v>
      </c>
      <c r="T1" s="155"/>
      <c r="U1" s="158" t="s">
        <v>185</v>
      </c>
      <c r="V1" s="158" t="s">
        <v>596</v>
      </c>
      <c r="W1" s="158" t="s">
        <v>597</v>
      </c>
      <c r="X1" s="158" t="s">
        <v>602</v>
      </c>
      <c r="Y1" s="193" t="s">
        <v>600</v>
      </c>
      <c r="Z1" s="194" t="s">
        <v>601</v>
      </c>
      <c r="AA1" s="156" t="s">
        <v>599</v>
      </c>
      <c r="AB1" s="156" t="s">
        <v>603</v>
      </c>
      <c r="AC1" s="156" t="s">
        <v>604</v>
      </c>
      <c r="AD1" s="156" t="s">
        <v>605</v>
      </c>
      <c r="AE1" s="194" t="s">
        <v>188</v>
      </c>
      <c r="AF1" s="194" t="s">
        <v>189</v>
      </c>
      <c r="AG1" s="194" t="s">
        <v>199</v>
      </c>
      <c r="AH1" s="194" t="s">
        <v>200</v>
      </c>
      <c r="AI1" s="194" t="s">
        <v>201</v>
      </c>
      <c r="AJ1" s="194" t="s">
        <v>202</v>
      </c>
      <c r="AK1" s="194" t="s">
        <v>203</v>
      </c>
      <c r="AL1" s="194" t="s">
        <v>902</v>
      </c>
      <c r="AM1" s="194" t="s">
        <v>903</v>
      </c>
      <c r="AN1" s="194" t="s">
        <v>904</v>
      </c>
      <c r="AO1" s="194" t="s">
        <v>905</v>
      </c>
      <c r="AP1" s="194" t="s">
        <v>182</v>
      </c>
      <c r="AQ1" s="194" t="s">
        <v>183</v>
      </c>
      <c r="AR1" s="194" t="s">
        <v>184</v>
      </c>
      <c r="AS1" s="194" t="s">
        <v>906</v>
      </c>
      <c r="AT1" s="194" t="s">
        <v>907</v>
      </c>
      <c r="AU1" s="194" t="s">
        <v>908</v>
      </c>
      <c r="AV1" s="194" t="s">
        <v>909</v>
      </c>
      <c r="AW1" s="194" t="s">
        <v>910</v>
      </c>
    </row>
    <row r="2" ht="12" spans="1:49">
      <c r="A2" s="119">
        <v>1</v>
      </c>
      <c r="B2" s="105" t="s">
        <v>911</v>
      </c>
      <c r="C2" s="16" t="s">
        <v>912</v>
      </c>
      <c r="D2" s="133">
        <v>3</v>
      </c>
      <c r="E2" s="25" t="s">
        <v>173</v>
      </c>
      <c r="F2" s="25" t="s">
        <v>256</v>
      </c>
      <c r="G2" s="25" t="s">
        <v>913</v>
      </c>
      <c r="H2" s="13"/>
      <c r="I2" s="159">
        <v>100</v>
      </c>
      <c r="J2" s="159"/>
      <c r="K2" s="159"/>
      <c r="L2" s="159"/>
      <c r="M2" s="13" t="s">
        <v>914</v>
      </c>
      <c r="N2" s="160" t="s">
        <v>642</v>
      </c>
      <c r="O2" s="57" t="s">
        <v>393</v>
      </c>
      <c r="P2" s="161" t="s">
        <v>221</v>
      </c>
      <c r="Q2" s="175" t="s">
        <v>222</v>
      </c>
      <c r="R2" s="176"/>
      <c r="S2" s="161"/>
      <c r="T2" s="13"/>
      <c r="U2" s="177">
        <v>45817</v>
      </c>
      <c r="V2" s="13" t="s">
        <v>915</v>
      </c>
      <c r="W2" s="13" t="s">
        <v>916</v>
      </c>
      <c r="X2" s="177">
        <v>45817</v>
      </c>
      <c r="Y2" s="13">
        <v>100</v>
      </c>
      <c r="Z2" s="13">
        <v>10000</v>
      </c>
      <c r="AA2" s="13">
        <v>1000000</v>
      </c>
      <c r="AB2" s="13" t="s">
        <v>917</v>
      </c>
      <c r="AC2" s="13"/>
      <c r="AD2" s="13"/>
      <c r="AE2" s="13" t="s">
        <v>800</v>
      </c>
      <c r="AF2" s="13" t="s">
        <v>810</v>
      </c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</row>
    <row r="3" ht="12" spans="1:49">
      <c r="A3" s="119"/>
      <c r="B3" s="127"/>
      <c r="C3" s="16"/>
      <c r="D3" s="127"/>
      <c r="E3" s="25" t="s">
        <v>168</v>
      </c>
      <c r="F3" s="25" t="s">
        <v>256</v>
      </c>
      <c r="G3" s="25" t="s">
        <v>918</v>
      </c>
      <c r="H3" s="13"/>
      <c r="I3" s="159"/>
      <c r="J3" s="159"/>
      <c r="K3" s="159"/>
      <c r="L3" s="159"/>
      <c r="M3" s="13"/>
      <c r="N3" s="160"/>
      <c r="O3" s="57"/>
      <c r="P3" s="161"/>
      <c r="Q3" s="175"/>
      <c r="R3" s="176"/>
      <c r="S3" s="161"/>
      <c r="T3" s="13"/>
      <c r="U3" s="177"/>
      <c r="V3" s="13"/>
      <c r="W3" s="13"/>
      <c r="X3" s="177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ht="12" spans="1:49">
      <c r="A4" s="119"/>
      <c r="B4" s="103"/>
      <c r="C4" s="16"/>
      <c r="D4" s="103"/>
      <c r="E4" t="s">
        <v>172</v>
      </c>
      <c r="F4" s="25" t="s">
        <v>256</v>
      </c>
      <c r="G4" s="25" t="s">
        <v>919</v>
      </c>
      <c r="H4" s="13"/>
      <c r="I4" s="58">
        <v>100</v>
      </c>
      <c r="J4" s="58"/>
      <c r="K4" s="58"/>
      <c r="L4" s="58"/>
      <c r="M4" s="13"/>
      <c r="N4" s="160"/>
      <c r="O4" s="57"/>
      <c r="P4" s="161" t="s">
        <v>221</v>
      </c>
      <c r="Q4" s="175" t="s">
        <v>222</v>
      </c>
      <c r="R4" s="176"/>
      <c r="S4" s="161"/>
      <c r="T4" s="13"/>
      <c r="U4" s="177">
        <v>45817</v>
      </c>
      <c r="V4" s="13" t="s">
        <v>915</v>
      </c>
      <c r="W4" s="13" t="s">
        <v>916</v>
      </c>
      <c r="X4" s="177">
        <v>45817</v>
      </c>
      <c r="Y4" s="13">
        <v>100</v>
      </c>
      <c r="Z4" s="13">
        <v>10000</v>
      </c>
      <c r="AA4" s="13">
        <v>1000000</v>
      </c>
      <c r="AB4" s="13" t="s">
        <v>920</v>
      </c>
      <c r="AC4" s="13"/>
      <c r="AD4" s="13"/>
      <c r="AE4" s="13" t="s">
        <v>800</v>
      </c>
      <c r="AF4" s="13" t="s">
        <v>810</v>
      </c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</row>
    <row r="5" ht="12" spans="1:49">
      <c r="A5" s="13"/>
      <c r="B5" s="13" t="s">
        <v>921</v>
      </c>
      <c r="C5" s="13"/>
      <c r="D5" s="26">
        <v>0</v>
      </c>
      <c r="E5" s="25"/>
      <c r="F5" s="25"/>
      <c r="G5" s="25"/>
      <c r="H5" s="13"/>
      <c r="I5" s="159"/>
      <c r="J5" s="159"/>
      <c r="K5" s="159"/>
      <c r="L5" s="159"/>
      <c r="M5" s="13" t="s">
        <v>914</v>
      </c>
      <c r="N5" s="160" t="s">
        <v>642</v>
      </c>
      <c r="O5" s="57" t="s">
        <v>432</v>
      </c>
      <c r="P5" s="161" t="s">
        <v>221</v>
      </c>
      <c r="Q5" s="175" t="s">
        <v>222</v>
      </c>
      <c r="R5" s="176"/>
      <c r="S5" s="161"/>
      <c r="T5" s="13"/>
      <c r="U5" s="177">
        <v>45817</v>
      </c>
      <c r="V5" s="13" t="s">
        <v>915</v>
      </c>
      <c r="W5" s="13" t="s">
        <v>916</v>
      </c>
      <c r="X5" s="177">
        <v>45817</v>
      </c>
      <c r="Y5" s="13">
        <v>100</v>
      </c>
      <c r="Z5" s="13">
        <v>10000</v>
      </c>
      <c r="AA5" s="13">
        <v>1000000</v>
      </c>
      <c r="AB5" s="13" t="s">
        <v>922</v>
      </c>
      <c r="AC5" s="13"/>
      <c r="AD5" s="13"/>
      <c r="AE5" s="13" t="s">
        <v>800</v>
      </c>
      <c r="AF5" s="13" t="s">
        <v>810</v>
      </c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</row>
    <row r="6" ht="12" spans="1:49">
      <c r="A6" s="13"/>
      <c r="B6" s="105" t="s">
        <v>804</v>
      </c>
      <c r="C6" s="13"/>
      <c r="D6" s="133">
        <v>2</v>
      </c>
      <c r="E6" s="25" t="s">
        <v>172</v>
      </c>
      <c r="F6" s="25" t="s">
        <v>256</v>
      </c>
      <c r="G6" s="25" t="s">
        <v>919</v>
      </c>
      <c r="H6" s="13"/>
      <c r="I6" s="58">
        <v>100</v>
      </c>
      <c r="J6" s="58"/>
      <c r="K6" s="58"/>
      <c r="L6" s="58"/>
      <c r="M6" s="13" t="s">
        <v>914</v>
      </c>
      <c r="N6" s="160" t="s">
        <v>631</v>
      </c>
      <c r="O6" s="57" t="s">
        <v>615</v>
      </c>
      <c r="P6" s="162" t="s">
        <v>221</v>
      </c>
      <c r="Q6" s="178" t="s">
        <v>222</v>
      </c>
      <c r="R6" s="179"/>
      <c r="S6" s="162"/>
      <c r="T6" s="13"/>
      <c r="U6" s="177">
        <v>45817</v>
      </c>
      <c r="V6" s="13" t="s">
        <v>915</v>
      </c>
      <c r="W6" s="13" t="s">
        <v>916</v>
      </c>
      <c r="X6" s="177">
        <v>45817</v>
      </c>
      <c r="Y6" s="13">
        <v>100</v>
      </c>
      <c r="Z6" s="13">
        <v>10000</v>
      </c>
      <c r="AA6" s="13">
        <v>1000000</v>
      </c>
      <c r="AB6" s="13" t="s">
        <v>923</v>
      </c>
      <c r="AC6" s="13"/>
      <c r="AD6" s="13"/>
      <c r="AE6" s="13" t="s">
        <v>800</v>
      </c>
      <c r="AF6" s="13" t="s">
        <v>810</v>
      </c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</row>
    <row r="7" ht="14.4" spans="1:49">
      <c r="A7" s="119"/>
      <c r="B7" s="103"/>
      <c r="C7" s="16"/>
      <c r="D7" s="103"/>
      <c r="E7" s="25" t="s">
        <v>168</v>
      </c>
      <c r="F7" s="25" t="s">
        <v>256</v>
      </c>
      <c r="G7" s="25" t="s">
        <v>924</v>
      </c>
      <c r="H7" s="13"/>
      <c r="I7" s="163"/>
      <c r="J7" s="163"/>
      <c r="K7" s="163"/>
      <c r="L7" s="163"/>
      <c r="M7" s="13"/>
      <c r="N7" s="160"/>
      <c r="O7" s="57"/>
      <c r="P7" s="162"/>
      <c r="Q7" s="178"/>
      <c r="R7" s="180"/>
      <c r="S7" s="181"/>
      <c r="T7" s="13"/>
      <c r="U7" s="177"/>
      <c r="V7" s="13"/>
      <c r="W7" s="13"/>
      <c r="X7" s="177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</row>
    <row r="8" ht="14.4" spans="1:49">
      <c r="A8" s="13"/>
      <c r="B8" s="13" t="s">
        <v>806</v>
      </c>
      <c r="C8" s="13"/>
      <c r="D8" s="26">
        <v>0</v>
      </c>
      <c r="E8" s="25"/>
      <c r="F8" s="25"/>
      <c r="G8" s="25"/>
      <c r="H8" s="13"/>
      <c r="I8" s="163"/>
      <c r="J8" s="163"/>
      <c r="K8" s="163"/>
      <c r="L8" s="163"/>
      <c r="M8" s="13" t="s">
        <v>914</v>
      </c>
      <c r="N8" s="160" t="s">
        <v>631</v>
      </c>
      <c r="O8" s="57" t="s">
        <v>620</v>
      </c>
      <c r="P8" s="162" t="s">
        <v>221</v>
      </c>
      <c r="Q8" s="178" t="s">
        <v>222</v>
      </c>
      <c r="R8" s="182"/>
      <c r="S8" s="183"/>
      <c r="T8" s="13"/>
      <c r="U8" s="177">
        <v>45817</v>
      </c>
      <c r="V8" s="13" t="s">
        <v>915</v>
      </c>
      <c r="W8" s="13" t="s">
        <v>916</v>
      </c>
      <c r="X8" s="177">
        <v>45817</v>
      </c>
      <c r="Y8" s="13">
        <v>100</v>
      </c>
      <c r="Z8" s="13">
        <v>10000</v>
      </c>
      <c r="AA8" s="13">
        <v>1000000</v>
      </c>
      <c r="AB8" s="13" t="s">
        <v>925</v>
      </c>
      <c r="AC8" s="13"/>
      <c r="AD8" s="13"/>
      <c r="AE8" s="13" t="s">
        <v>800</v>
      </c>
      <c r="AF8" s="13" t="s">
        <v>810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ht="14.4" spans="1:49">
      <c r="A9" s="134">
        <v>2</v>
      </c>
      <c r="B9" s="105" t="s">
        <v>807</v>
      </c>
      <c r="C9" s="135" t="s">
        <v>926</v>
      </c>
      <c r="D9" s="136">
        <v>3</v>
      </c>
      <c r="E9" s="25" t="s">
        <v>173</v>
      </c>
      <c r="F9" s="25" t="s">
        <v>256</v>
      </c>
      <c r="G9" s="25" t="s">
        <v>927</v>
      </c>
      <c r="H9" s="103"/>
      <c r="I9" s="164">
        <v>100</v>
      </c>
      <c r="J9" s="164">
        <v>1000000</v>
      </c>
      <c r="K9" s="164">
        <v>1000000</v>
      </c>
      <c r="L9" s="164">
        <v>1000000</v>
      </c>
      <c r="M9" s="13" t="s">
        <v>928</v>
      </c>
      <c r="N9" s="160" t="s">
        <v>607</v>
      </c>
      <c r="O9" s="57" t="s">
        <v>615</v>
      </c>
      <c r="P9" s="162" t="s">
        <v>221</v>
      </c>
      <c r="Q9" s="178" t="s">
        <v>222</v>
      </c>
      <c r="R9" s="184"/>
      <c r="S9" s="185"/>
      <c r="T9" s="13"/>
      <c r="U9" s="177">
        <v>45817</v>
      </c>
      <c r="V9" s="13" t="s">
        <v>929</v>
      </c>
      <c r="W9" s="13" t="s">
        <v>930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ht="14.4" spans="1:49">
      <c r="A10" s="134"/>
      <c r="B10" s="127"/>
      <c r="C10" s="137"/>
      <c r="D10" s="138"/>
      <c r="E10" s="25" t="s">
        <v>168</v>
      </c>
      <c r="F10" s="25"/>
      <c r="G10" s="25" t="s">
        <v>931</v>
      </c>
      <c r="H10" s="103"/>
      <c r="I10" s="164"/>
      <c r="J10" s="164"/>
      <c r="K10" s="164"/>
      <c r="L10" s="164"/>
      <c r="M10" s="13"/>
      <c r="N10" s="160"/>
      <c r="O10" s="57"/>
      <c r="P10" s="162"/>
      <c r="Q10" s="178"/>
      <c r="R10" s="184"/>
      <c r="S10" s="185"/>
      <c r="T10" s="13"/>
      <c r="U10" s="177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ht="14.4" spans="1:49">
      <c r="A11" s="134"/>
      <c r="B11" s="103"/>
      <c r="C11" s="137"/>
      <c r="D11" s="116"/>
      <c r="E11" s="25" t="s">
        <v>172</v>
      </c>
      <c r="F11" s="25" t="s">
        <v>256</v>
      </c>
      <c r="G11" s="25" t="s">
        <v>927</v>
      </c>
      <c r="H11" s="103"/>
      <c r="I11" s="164">
        <v>100</v>
      </c>
      <c r="J11" s="163"/>
      <c r="K11" s="163"/>
      <c r="L11" s="163"/>
      <c r="M11" s="13" t="s">
        <v>928</v>
      </c>
      <c r="N11" s="160"/>
      <c r="O11" s="57"/>
      <c r="P11" s="162" t="s">
        <v>221</v>
      </c>
      <c r="Q11" s="178" t="s">
        <v>222</v>
      </c>
      <c r="R11" s="184"/>
      <c r="S11" s="185"/>
      <c r="T11" s="13"/>
      <c r="U11" s="177">
        <v>45817</v>
      </c>
      <c r="V11" s="13" t="s">
        <v>932</v>
      </c>
      <c r="W11" s="13" t="s">
        <v>930</v>
      </c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ht="14.4" spans="1:49">
      <c r="A12" s="139"/>
      <c r="B12" s="13" t="s">
        <v>811</v>
      </c>
      <c r="C12" s="112"/>
      <c r="D12" s="140">
        <v>0</v>
      </c>
      <c r="E12" s="25" t="s">
        <v>831</v>
      </c>
      <c r="F12" s="25"/>
      <c r="G12" s="25"/>
      <c r="H12" s="13"/>
      <c r="I12" s="163"/>
      <c r="J12" s="163">
        <v>-1000000</v>
      </c>
      <c r="K12" s="163">
        <v>-1000000</v>
      </c>
      <c r="L12" s="163">
        <v>-1000000</v>
      </c>
      <c r="M12" s="13" t="s">
        <v>928</v>
      </c>
      <c r="N12" s="160" t="s">
        <v>607</v>
      </c>
      <c r="O12" s="57" t="s">
        <v>620</v>
      </c>
      <c r="P12" s="162" t="s">
        <v>221</v>
      </c>
      <c r="Q12" s="178" t="s">
        <v>222</v>
      </c>
      <c r="R12" s="184"/>
      <c r="S12" s="185"/>
      <c r="T12" s="13"/>
      <c r="U12" s="177">
        <v>45818</v>
      </c>
      <c r="V12" s="13" t="s">
        <v>933</v>
      </c>
      <c r="W12" s="13" t="s">
        <v>930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ht="14.4" spans="1:49">
      <c r="A13" s="127"/>
      <c r="B13" s="105" t="s">
        <v>814</v>
      </c>
      <c r="C13" s="13"/>
      <c r="D13" s="133">
        <v>3</v>
      </c>
      <c r="E13" s="25" t="s">
        <v>173</v>
      </c>
      <c r="F13" s="25" t="s">
        <v>256</v>
      </c>
      <c r="G13" s="25" t="s">
        <v>927</v>
      </c>
      <c r="H13" s="13"/>
      <c r="I13" s="163">
        <v>100</v>
      </c>
      <c r="J13" s="163">
        <v>1000000</v>
      </c>
      <c r="K13" s="163">
        <v>1000000</v>
      </c>
      <c r="L13" s="163">
        <v>1000000</v>
      </c>
      <c r="M13" s="13" t="s">
        <v>928</v>
      </c>
      <c r="N13" s="160" t="s">
        <v>607</v>
      </c>
      <c r="O13" s="57" t="s">
        <v>615</v>
      </c>
      <c r="P13" s="162" t="s">
        <v>221</v>
      </c>
      <c r="Q13" s="178" t="s">
        <v>222</v>
      </c>
      <c r="R13" s="185"/>
      <c r="S13" s="185"/>
      <c r="T13" s="13"/>
      <c r="U13" s="13"/>
      <c r="V13" s="13" t="s">
        <v>934</v>
      </c>
      <c r="W13" s="13" t="s">
        <v>930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ht="14.4" spans="1:49">
      <c r="A14" s="141"/>
      <c r="B14" s="127"/>
      <c r="C14" s="15"/>
      <c r="D14" s="127"/>
      <c r="E14" s="25" t="s">
        <v>168</v>
      </c>
      <c r="F14" s="25"/>
      <c r="G14" s="25" t="s">
        <v>931</v>
      </c>
      <c r="H14" s="13"/>
      <c r="I14" s="163"/>
      <c r="J14" s="163"/>
      <c r="K14" s="163"/>
      <c r="L14" s="163"/>
      <c r="M14" s="13"/>
      <c r="N14" s="160"/>
      <c r="O14" s="57"/>
      <c r="P14" s="162"/>
      <c r="Q14" s="178"/>
      <c r="R14" s="185"/>
      <c r="S14" s="185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</row>
    <row r="15" ht="14.4" spans="1:49">
      <c r="A15" s="141"/>
      <c r="B15" s="103"/>
      <c r="C15" s="15"/>
      <c r="D15" s="103"/>
      <c r="E15" s="25" t="s">
        <v>172</v>
      </c>
      <c r="F15" s="25" t="s">
        <v>256</v>
      </c>
      <c r="G15" s="25" t="s">
        <v>927</v>
      </c>
      <c r="H15" s="13"/>
      <c r="I15" s="163">
        <v>100</v>
      </c>
      <c r="J15" s="163"/>
      <c r="K15" s="163"/>
      <c r="L15" s="163"/>
      <c r="M15" s="13" t="s">
        <v>928</v>
      </c>
      <c r="N15" s="160"/>
      <c r="O15" s="57"/>
      <c r="P15" s="162" t="s">
        <v>221</v>
      </c>
      <c r="Q15" s="178" t="s">
        <v>222</v>
      </c>
      <c r="R15" s="185"/>
      <c r="S15" s="185"/>
      <c r="T15" s="13"/>
      <c r="U15" s="13"/>
      <c r="V15" s="13" t="s">
        <v>935</v>
      </c>
      <c r="W15" s="13" t="s">
        <v>930</v>
      </c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</row>
    <row r="16" ht="14.4" spans="1:49">
      <c r="A16" s="127"/>
      <c r="B16" s="13" t="s">
        <v>815</v>
      </c>
      <c r="C16" s="13"/>
      <c r="D16" s="26">
        <v>0</v>
      </c>
      <c r="E16" s="25" t="s">
        <v>831</v>
      </c>
      <c r="F16" s="25"/>
      <c r="G16" s="25"/>
      <c r="H16" s="13"/>
      <c r="I16" s="163"/>
      <c r="J16" s="163">
        <v>-1000000</v>
      </c>
      <c r="K16" s="163">
        <v>-1000000</v>
      </c>
      <c r="L16" s="163">
        <v>-1000000</v>
      </c>
      <c r="M16" s="13" t="s">
        <v>928</v>
      </c>
      <c r="N16" s="160" t="s">
        <v>607</v>
      </c>
      <c r="O16" s="57" t="s">
        <v>620</v>
      </c>
      <c r="P16" s="162" t="s">
        <v>221</v>
      </c>
      <c r="Q16" s="178" t="s">
        <v>222</v>
      </c>
      <c r="R16" s="185"/>
      <c r="S16" s="185"/>
      <c r="T16" s="13"/>
      <c r="U16" s="13"/>
      <c r="V16" s="13" t="s">
        <v>936</v>
      </c>
      <c r="W16" s="13" t="s">
        <v>930</v>
      </c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</row>
    <row r="17" ht="14.4" spans="1:49">
      <c r="A17" s="127"/>
      <c r="B17" s="105" t="s">
        <v>937</v>
      </c>
      <c r="C17" s="13"/>
      <c r="D17" s="133">
        <v>3</v>
      </c>
      <c r="E17" s="25" t="s">
        <v>173</v>
      </c>
      <c r="F17" s="25" t="s">
        <v>256</v>
      </c>
      <c r="G17" s="25" t="s">
        <v>927</v>
      </c>
      <c r="H17" s="13"/>
      <c r="I17" s="163">
        <v>100</v>
      </c>
      <c r="J17" s="163">
        <v>1000000</v>
      </c>
      <c r="K17" s="163">
        <v>1000000</v>
      </c>
      <c r="L17" s="163">
        <v>1000000</v>
      </c>
      <c r="M17" s="13" t="s">
        <v>928</v>
      </c>
      <c r="N17" s="160" t="s">
        <v>607</v>
      </c>
      <c r="O17" s="57" t="s">
        <v>608</v>
      </c>
      <c r="P17" s="162" t="s">
        <v>221</v>
      </c>
      <c r="Q17" s="178" t="s">
        <v>222</v>
      </c>
      <c r="R17" s="184"/>
      <c r="S17" s="185"/>
      <c r="T17" s="13"/>
      <c r="U17" s="13"/>
      <c r="V17" s="13" t="s">
        <v>938</v>
      </c>
      <c r="W17" s="13" t="s">
        <v>930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</row>
    <row r="18" ht="14.4" spans="1:49">
      <c r="A18" s="141"/>
      <c r="B18" s="127"/>
      <c r="C18" s="15"/>
      <c r="D18" s="127"/>
      <c r="E18" s="25" t="s">
        <v>168</v>
      </c>
      <c r="F18" s="25"/>
      <c r="G18" s="25" t="s">
        <v>931</v>
      </c>
      <c r="H18" s="13"/>
      <c r="I18" s="163"/>
      <c r="J18" s="163"/>
      <c r="K18" s="163"/>
      <c r="L18" s="163"/>
      <c r="M18" s="13"/>
      <c r="N18" s="165"/>
      <c r="O18" s="166"/>
      <c r="P18" s="167"/>
      <c r="Q18" s="55"/>
      <c r="R18" s="186"/>
      <c r="S18" s="187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</row>
    <row r="19" ht="14.4" spans="1:49">
      <c r="A19" s="141"/>
      <c r="B19" s="103"/>
      <c r="C19" s="15"/>
      <c r="D19" s="103"/>
      <c r="E19" s="25" t="s">
        <v>172</v>
      </c>
      <c r="F19" s="25" t="s">
        <v>256</v>
      </c>
      <c r="G19" s="25" t="s">
        <v>927</v>
      </c>
      <c r="H19" s="13"/>
      <c r="I19" s="163">
        <v>100</v>
      </c>
      <c r="J19" s="163"/>
      <c r="K19" s="163"/>
      <c r="L19" s="163"/>
      <c r="M19" s="13"/>
      <c r="N19" s="165"/>
      <c r="O19" s="166"/>
      <c r="P19" s="167" t="s">
        <v>221</v>
      </c>
      <c r="Q19" s="55" t="s">
        <v>222</v>
      </c>
      <c r="R19" s="186"/>
      <c r="S19" s="187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</row>
    <row r="20" ht="14.4" spans="1:49">
      <c r="A20" s="133">
        <v>3</v>
      </c>
      <c r="B20" s="133" t="s">
        <v>817</v>
      </c>
      <c r="C20" s="142" t="s">
        <v>939</v>
      </c>
      <c r="D20" s="143">
        <v>2</v>
      </c>
      <c r="E20" s="25" t="s">
        <v>172</v>
      </c>
      <c r="F20" s="25" t="s">
        <v>256</v>
      </c>
      <c r="G20" s="25" t="s">
        <v>919</v>
      </c>
      <c r="H20" s="25"/>
      <c r="I20" s="25"/>
      <c r="J20" s="168"/>
      <c r="K20" s="168"/>
      <c r="L20" s="168"/>
      <c r="M20" s="25" t="s">
        <v>914</v>
      </c>
      <c r="N20" s="169" t="s">
        <v>631</v>
      </c>
      <c r="O20" s="153" t="s">
        <v>615</v>
      </c>
      <c r="P20" s="170" t="s">
        <v>221</v>
      </c>
      <c r="Q20" s="48" t="s">
        <v>222</v>
      </c>
      <c r="R20" s="188"/>
      <c r="S20" s="187"/>
      <c r="T20" s="25"/>
      <c r="U20" s="189"/>
      <c r="V20" s="25" t="s">
        <v>940</v>
      </c>
      <c r="W20" s="25" t="s">
        <v>941</v>
      </c>
      <c r="X20" s="189">
        <v>45817</v>
      </c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</row>
    <row r="21" ht="14.4" spans="1:49">
      <c r="A21" s="105"/>
      <c r="B21" s="105"/>
      <c r="C21" s="103"/>
      <c r="D21" s="144"/>
      <c r="E21" s="25" t="s">
        <v>168</v>
      </c>
      <c r="F21" s="25" t="s">
        <v>256</v>
      </c>
      <c r="G21" s="25" t="s">
        <v>931</v>
      </c>
      <c r="H21" s="25"/>
      <c r="I21" s="25"/>
      <c r="J21" s="168"/>
      <c r="K21" s="168"/>
      <c r="L21" s="168"/>
      <c r="M21" s="25"/>
      <c r="N21" s="169"/>
      <c r="O21" s="153"/>
      <c r="P21" s="170"/>
      <c r="Q21" s="48"/>
      <c r="R21" s="188"/>
      <c r="S21" s="187"/>
      <c r="T21" s="25"/>
      <c r="U21" s="189"/>
      <c r="V21" s="25"/>
      <c r="W21" s="25"/>
      <c r="X21" s="189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</row>
    <row r="22" ht="14.4" spans="1:49">
      <c r="A22" s="105"/>
      <c r="B22" s="48" t="s">
        <v>820</v>
      </c>
      <c r="C22" s="144"/>
      <c r="D22" s="143">
        <v>3</v>
      </c>
      <c r="E22" s="25" t="s">
        <v>173</v>
      </c>
      <c r="F22" s="25" t="s">
        <v>256</v>
      </c>
      <c r="G22" s="25" t="s">
        <v>942</v>
      </c>
      <c r="H22" s="25"/>
      <c r="I22" s="25"/>
      <c r="J22" s="168"/>
      <c r="K22" s="168"/>
      <c r="L22" s="168"/>
      <c r="M22" s="25" t="s">
        <v>914</v>
      </c>
      <c r="N22" s="169" t="s">
        <v>642</v>
      </c>
      <c r="O22" s="169" t="s">
        <v>393</v>
      </c>
      <c r="P22" s="170" t="s">
        <v>221</v>
      </c>
      <c r="Q22" s="48" t="s">
        <v>222</v>
      </c>
      <c r="R22" s="188"/>
      <c r="S22" s="187"/>
      <c r="T22" s="25"/>
      <c r="U22" s="25"/>
      <c r="V22" s="25" t="s">
        <v>940</v>
      </c>
      <c r="W22" s="25" t="s">
        <v>941</v>
      </c>
      <c r="X22" s="189">
        <v>45817</v>
      </c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</row>
    <row r="23" ht="14.4" spans="1:49">
      <c r="A23" s="105"/>
      <c r="B23" s="105"/>
      <c r="C23" s="103"/>
      <c r="D23" s="144"/>
      <c r="E23" s="25" t="s">
        <v>168</v>
      </c>
      <c r="F23" s="25" t="s">
        <v>256</v>
      </c>
      <c r="G23" s="25" t="s">
        <v>943</v>
      </c>
      <c r="H23" s="25"/>
      <c r="I23" s="25"/>
      <c r="J23" s="168"/>
      <c r="K23" s="168"/>
      <c r="L23" s="168"/>
      <c r="M23" s="25"/>
      <c r="N23" s="169"/>
      <c r="O23" s="169"/>
      <c r="P23" s="170"/>
      <c r="Q23" s="48"/>
      <c r="R23" s="188"/>
      <c r="S23" s="187"/>
      <c r="T23" s="25"/>
      <c r="U23" s="25"/>
      <c r="V23" s="25"/>
      <c r="W23" s="25"/>
      <c r="X23" s="189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</row>
    <row r="24" ht="14.4" spans="1:49">
      <c r="A24" s="105"/>
      <c r="B24" s="105"/>
      <c r="C24" s="144"/>
      <c r="D24" s="144"/>
      <c r="E24" s="25" t="s">
        <v>172</v>
      </c>
      <c r="F24" s="25" t="s">
        <v>256</v>
      </c>
      <c r="G24" s="25" t="s">
        <v>944</v>
      </c>
      <c r="H24" s="25"/>
      <c r="I24" s="25"/>
      <c r="J24" s="168"/>
      <c r="K24" s="168"/>
      <c r="L24" s="168"/>
      <c r="M24" s="25"/>
      <c r="N24" s="25"/>
      <c r="O24" s="25"/>
      <c r="P24" s="170" t="s">
        <v>221</v>
      </c>
      <c r="Q24" s="48" t="s">
        <v>222</v>
      </c>
      <c r="R24" s="188"/>
      <c r="S24" s="187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</row>
    <row r="25" ht="14.4" spans="1:49">
      <c r="A25" s="105"/>
      <c r="B25" s="48" t="s">
        <v>821</v>
      </c>
      <c r="C25" s="103"/>
      <c r="D25" s="143">
        <v>3</v>
      </c>
      <c r="E25" s="25" t="s">
        <v>173</v>
      </c>
      <c r="F25" s="25" t="s">
        <v>256</v>
      </c>
      <c r="G25" s="25" t="s">
        <v>927</v>
      </c>
      <c r="H25" s="25"/>
      <c r="I25" s="25"/>
      <c r="J25" s="168"/>
      <c r="K25" s="168"/>
      <c r="L25" s="168"/>
      <c r="M25" s="25" t="s">
        <v>928</v>
      </c>
      <c r="N25" s="25" t="s">
        <v>607</v>
      </c>
      <c r="O25" s="25" t="s">
        <v>615</v>
      </c>
      <c r="P25" s="170" t="s">
        <v>221</v>
      </c>
      <c r="Q25" s="48" t="s">
        <v>222</v>
      </c>
      <c r="R25" s="188"/>
      <c r="S25" s="187"/>
      <c r="T25" s="25"/>
      <c r="U25" s="25"/>
      <c r="V25" s="25" t="s">
        <v>945</v>
      </c>
      <c r="W25" s="25" t="s">
        <v>946</v>
      </c>
      <c r="X25" s="189">
        <v>45817</v>
      </c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</row>
    <row r="26" ht="14.4" spans="1:49">
      <c r="A26" s="145"/>
      <c r="B26" s="145"/>
      <c r="C26" s="144"/>
      <c r="D26" s="144"/>
      <c r="E26" s="25" t="s">
        <v>168</v>
      </c>
      <c r="F26" s="25" t="s">
        <v>256</v>
      </c>
      <c r="G26" s="25" t="s">
        <v>931</v>
      </c>
      <c r="H26" s="25"/>
      <c r="I26" s="25"/>
      <c r="J26" s="168"/>
      <c r="K26" s="168"/>
      <c r="L26" s="168"/>
      <c r="M26" s="25"/>
      <c r="N26" s="25"/>
      <c r="O26" s="25"/>
      <c r="P26" s="170"/>
      <c r="Q26" s="48"/>
      <c r="R26" s="188"/>
      <c r="S26" s="187"/>
      <c r="T26" s="25"/>
      <c r="U26" s="25"/>
      <c r="V26" s="25"/>
      <c r="W26" s="25"/>
      <c r="X26" s="189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</row>
    <row r="27" ht="14.4" spans="1:49">
      <c r="A27" s="145"/>
      <c r="B27" s="145"/>
      <c r="C27" s="144"/>
      <c r="D27" s="144"/>
      <c r="E27" s="25" t="s">
        <v>172</v>
      </c>
      <c r="F27" s="25" t="s">
        <v>256</v>
      </c>
      <c r="G27" s="25" t="s">
        <v>919</v>
      </c>
      <c r="H27" s="25"/>
      <c r="I27" s="25"/>
      <c r="J27" s="168"/>
      <c r="K27" s="168"/>
      <c r="L27" s="168"/>
      <c r="M27" s="25"/>
      <c r="N27" s="25"/>
      <c r="O27" s="168"/>
      <c r="P27" s="170" t="s">
        <v>221</v>
      </c>
      <c r="Q27" s="48" t="s">
        <v>222</v>
      </c>
      <c r="R27" s="188"/>
      <c r="S27" s="187"/>
      <c r="T27" s="25"/>
      <c r="U27" s="25"/>
      <c r="V27" s="25" t="s">
        <v>945</v>
      </c>
      <c r="W27" s="25" t="s">
        <v>946</v>
      </c>
      <c r="X27" s="189">
        <v>45817</v>
      </c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</row>
    <row r="28" ht="14.4" spans="1:49">
      <c r="A28" s="145"/>
      <c r="B28" s="48" t="s">
        <v>822</v>
      </c>
      <c r="C28" s="144"/>
      <c r="D28" s="146">
        <v>0</v>
      </c>
      <c r="E28" s="48"/>
      <c r="F28" s="48"/>
      <c r="G28" s="48"/>
      <c r="H28" s="48"/>
      <c r="I28" s="48"/>
      <c r="J28" s="171"/>
      <c r="K28" s="171"/>
      <c r="L28" s="171"/>
      <c r="M28" s="48" t="s">
        <v>928</v>
      </c>
      <c r="N28" s="48" t="s">
        <v>607</v>
      </c>
      <c r="O28" s="171" t="s">
        <v>620</v>
      </c>
      <c r="P28" s="170" t="s">
        <v>221</v>
      </c>
      <c r="Q28" s="48" t="s">
        <v>222</v>
      </c>
      <c r="R28" s="190"/>
      <c r="S28" s="191"/>
      <c r="T28" s="48"/>
      <c r="U28" s="48"/>
      <c r="V28" s="48" t="s">
        <v>945</v>
      </c>
      <c r="W28" s="48" t="s">
        <v>946</v>
      </c>
      <c r="X28" s="192">
        <v>45817</v>
      </c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</row>
    <row r="29" ht="14.4" spans="1:49">
      <c r="A29" s="147">
        <v>4</v>
      </c>
      <c r="B29" s="148" t="s">
        <v>823</v>
      </c>
      <c r="C29" s="149" t="s">
        <v>947</v>
      </c>
      <c r="D29" s="26">
        <v>2</v>
      </c>
      <c r="E29" s="25" t="s">
        <v>168</v>
      </c>
      <c r="F29" s="25" t="s">
        <v>256</v>
      </c>
      <c r="G29" s="25" t="s">
        <v>931</v>
      </c>
      <c r="H29" s="25"/>
      <c r="I29" s="25"/>
      <c r="J29" s="168">
        <v>1000000</v>
      </c>
      <c r="K29" s="168">
        <v>1000000</v>
      </c>
      <c r="L29" s="168">
        <v>1000000</v>
      </c>
      <c r="M29" s="25" t="s">
        <v>948</v>
      </c>
      <c r="N29" s="25" t="s">
        <v>631</v>
      </c>
      <c r="O29" s="25" t="s">
        <v>615</v>
      </c>
      <c r="P29" s="25" t="s">
        <v>221</v>
      </c>
      <c r="Q29" s="25" t="s">
        <v>222</v>
      </c>
      <c r="R29" s="25"/>
      <c r="S29" s="153"/>
      <c r="T29" s="25"/>
      <c r="U29" s="25"/>
      <c r="V29" s="25" t="s">
        <v>949</v>
      </c>
      <c r="W29" s="25" t="s">
        <v>950</v>
      </c>
      <c r="X29" s="189">
        <v>45817</v>
      </c>
      <c r="Y29" s="25"/>
      <c r="Z29" s="25"/>
      <c r="AA29" s="25">
        <v>1000000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32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</row>
    <row r="30" ht="14.4" spans="1:49">
      <c r="A30" s="150"/>
      <c r="B30" s="13"/>
      <c r="C30" s="13"/>
      <c r="D30" s="15"/>
      <c r="E30" s="25" t="s">
        <v>172</v>
      </c>
      <c r="F30" s="25" t="s">
        <v>256</v>
      </c>
      <c r="G30" s="25" t="s">
        <v>919</v>
      </c>
      <c r="H30" s="25"/>
      <c r="I30" s="25"/>
      <c r="J30" s="172"/>
      <c r="K30" s="172"/>
      <c r="L30" s="172"/>
      <c r="M30" s="25"/>
      <c r="N30" s="25"/>
      <c r="O30" s="25"/>
      <c r="P30" s="25"/>
      <c r="Q30" s="25"/>
      <c r="R30" s="25"/>
      <c r="S30" s="153"/>
      <c r="T30" s="25"/>
      <c r="U30" s="25"/>
      <c r="V30" s="25" t="s">
        <v>949</v>
      </c>
      <c r="W30" s="25" t="s">
        <v>950</v>
      </c>
      <c r="X30" s="189">
        <v>45817</v>
      </c>
      <c r="Y30" s="25"/>
      <c r="Z30" s="25"/>
      <c r="AA30" s="25">
        <v>1000000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32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</row>
    <row r="31" ht="14.4" spans="1:49">
      <c r="A31" s="150"/>
      <c r="B31" s="148" t="s">
        <v>827</v>
      </c>
      <c r="C31" s="13"/>
      <c r="D31" s="26">
        <v>3</v>
      </c>
      <c r="E31" s="25" t="s">
        <v>168</v>
      </c>
      <c r="F31" s="25" t="s">
        <v>256</v>
      </c>
      <c r="G31" s="25" t="s">
        <v>943</v>
      </c>
      <c r="H31" s="25"/>
      <c r="I31" s="25"/>
      <c r="J31" s="168">
        <v>1000000</v>
      </c>
      <c r="K31" s="168">
        <v>1000000</v>
      </c>
      <c r="L31" s="168">
        <v>1000000</v>
      </c>
      <c r="M31" s="25" t="s">
        <v>948</v>
      </c>
      <c r="N31" s="25" t="s">
        <v>642</v>
      </c>
      <c r="O31" s="25" t="s">
        <v>393</v>
      </c>
      <c r="P31" s="25" t="s">
        <v>221</v>
      </c>
      <c r="Q31" s="25" t="s">
        <v>222</v>
      </c>
      <c r="R31" s="25"/>
      <c r="S31" s="153"/>
      <c r="T31" s="25"/>
      <c r="U31" s="25"/>
      <c r="V31" s="25" t="s">
        <v>949</v>
      </c>
      <c r="W31" s="25" t="s">
        <v>950</v>
      </c>
      <c r="X31" s="189">
        <v>45817</v>
      </c>
      <c r="Y31" s="25"/>
      <c r="Z31" s="25"/>
      <c r="AA31" s="25">
        <v>1000000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32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</row>
    <row r="32" ht="14.4" spans="1:49">
      <c r="A32" s="150"/>
      <c r="B32" s="13"/>
      <c r="C32" s="13"/>
      <c r="D32" s="15"/>
      <c r="E32" s="25" t="s">
        <v>173</v>
      </c>
      <c r="F32" s="25" t="s">
        <v>256</v>
      </c>
      <c r="G32" s="25" t="s">
        <v>942</v>
      </c>
      <c r="H32" s="25"/>
      <c r="I32" s="25"/>
      <c r="J32" s="172"/>
      <c r="K32" s="172"/>
      <c r="L32" s="172"/>
      <c r="M32" s="25"/>
      <c r="N32" s="25"/>
      <c r="O32" s="25"/>
      <c r="P32" s="25"/>
      <c r="Q32" s="25"/>
      <c r="R32" s="25"/>
      <c r="S32" s="153"/>
      <c r="T32" s="25"/>
      <c r="U32" s="25"/>
      <c r="V32" s="25" t="s">
        <v>949</v>
      </c>
      <c r="W32" s="25" t="s">
        <v>950</v>
      </c>
      <c r="X32" s="189">
        <v>45817</v>
      </c>
      <c r="Y32" s="25"/>
      <c r="Z32" s="25"/>
      <c r="AA32" s="25">
        <v>1000000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32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</row>
    <row r="33" ht="14.4" spans="1:49">
      <c r="A33" s="150"/>
      <c r="B33" s="13"/>
      <c r="C33" s="13"/>
      <c r="D33" s="15"/>
      <c r="E33" s="25" t="s">
        <v>172</v>
      </c>
      <c r="F33" s="25" t="s">
        <v>256</v>
      </c>
      <c r="G33" s="25" t="s">
        <v>944</v>
      </c>
      <c r="H33" s="25"/>
      <c r="I33" s="25"/>
      <c r="J33" s="172"/>
      <c r="K33" s="172"/>
      <c r="L33" s="172"/>
      <c r="M33" s="25"/>
      <c r="N33" s="25"/>
      <c r="O33" s="25"/>
      <c r="P33" s="25"/>
      <c r="Q33" s="25"/>
      <c r="R33" s="25"/>
      <c r="S33" s="153"/>
      <c r="T33" s="25"/>
      <c r="U33" s="25"/>
      <c r="V33" s="25" t="s">
        <v>949</v>
      </c>
      <c r="W33" s="25" t="s">
        <v>950</v>
      </c>
      <c r="X33" s="189">
        <v>45817</v>
      </c>
      <c r="Y33" s="25"/>
      <c r="Z33" s="25"/>
      <c r="AA33" s="25">
        <v>1000000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32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ht="14.4" spans="1:49">
      <c r="A34" s="150"/>
      <c r="B34" s="148" t="s">
        <v>828</v>
      </c>
      <c r="C34" s="13"/>
      <c r="D34" s="26">
        <v>3</v>
      </c>
      <c r="E34" s="151" t="s">
        <v>168</v>
      </c>
      <c r="F34" s="151" t="s">
        <v>256</v>
      </c>
      <c r="G34" s="151" t="s">
        <v>943</v>
      </c>
      <c r="H34" s="25"/>
      <c r="I34" s="25"/>
      <c r="J34" s="168">
        <v>-1000000</v>
      </c>
      <c r="K34" s="168">
        <v>-1000000</v>
      </c>
      <c r="L34" s="168">
        <v>-1000000</v>
      </c>
      <c r="M34" s="25" t="s">
        <v>948</v>
      </c>
      <c r="N34" s="25" t="s">
        <v>607</v>
      </c>
      <c r="O34" s="25" t="s">
        <v>615</v>
      </c>
      <c r="P34" s="25" t="s">
        <v>221</v>
      </c>
      <c r="Q34" s="25" t="s">
        <v>222</v>
      </c>
      <c r="R34" s="25"/>
      <c r="S34" s="153"/>
      <c r="T34" s="25"/>
      <c r="U34" s="25"/>
      <c r="V34" s="25" t="s">
        <v>951</v>
      </c>
      <c r="W34" s="25" t="s">
        <v>952</v>
      </c>
      <c r="X34" s="189">
        <v>45817</v>
      </c>
      <c r="Y34" s="25"/>
      <c r="Z34" s="25"/>
      <c r="AA34" s="25">
        <v>1000000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32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</row>
    <row r="35" ht="14.4" spans="1:49">
      <c r="A35" s="150"/>
      <c r="B35" s="13"/>
      <c r="C35" s="13"/>
      <c r="D35" s="15"/>
      <c r="E35" s="151" t="s">
        <v>173</v>
      </c>
      <c r="F35" s="151" t="s">
        <v>256</v>
      </c>
      <c r="G35" s="151" t="s">
        <v>927</v>
      </c>
      <c r="H35" s="25"/>
      <c r="I35" s="25"/>
      <c r="J35" s="172"/>
      <c r="K35" s="172"/>
      <c r="L35" s="172"/>
      <c r="M35" s="25"/>
      <c r="N35" s="25"/>
      <c r="O35" s="25"/>
      <c r="P35" s="25"/>
      <c r="Q35" s="25"/>
      <c r="R35" s="25"/>
      <c r="S35" s="153"/>
      <c r="T35" s="25"/>
      <c r="U35" s="25"/>
      <c r="V35" s="25" t="s">
        <v>951</v>
      </c>
      <c r="W35" s="25" t="s">
        <v>952</v>
      </c>
      <c r="X35" s="189">
        <v>45817</v>
      </c>
      <c r="Y35" s="25"/>
      <c r="Z35" s="25"/>
      <c r="AA35" s="25">
        <v>1000000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32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</row>
    <row r="36" ht="14.4" spans="1:49">
      <c r="A36" s="150"/>
      <c r="B36" s="13"/>
      <c r="C36" s="13"/>
      <c r="D36" s="15"/>
      <c r="E36" s="151" t="s">
        <v>172</v>
      </c>
      <c r="F36" s="151" t="s">
        <v>256</v>
      </c>
      <c r="G36" s="151" t="s">
        <v>953</v>
      </c>
      <c r="H36" s="25"/>
      <c r="I36" s="25"/>
      <c r="J36" s="172"/>
      <c r="K36" s="172"/>
      <c r="L36" s="172"/>
      <c r="M36" s="25"/>
      <c r="N36" s="25"/>
      <c r="O36" s="25"/>
      <c r="P36" s="25"/>
      <c r="Q36" s="25"/>
      <c r="R36" s="25"/>
      <c r="S36" s="153"/>
      <c r="T36" s="25"/>
      <c r="U36" s="25"/>
      <c r="V36" s="25" t="s">
        <v>951</v>
      </c>
      <c r="W36" s="25" t="s">
        <v>952</v>
      </c>
      <c r="X36" s="189">
        <v>45817</v>
      </c>
      <c r="Y36" s="25"/>
      <c r="Z36" s="25"/>
      <c r="AA36" s="25">
        <v>1000000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32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</row>
    <row r="37" ht="14.4" spans="1:49">
      <c r="A37" s="150"/>
      <c r="B37" s="148" t="s">
        <v>830</v>
      </c>
      <c r="C37" s="13"/>
      <c r="D37" s="26">
        <v>3</v>
      </c>
      <c r="E37" s="151" t="s">
        <v>168</v>
      </c>
      <c r="F37" s="151" t="s">
        <v>256</v>
      </c>
      <c r="G37" s="151" t="s">
        <v>943</v>
      </c>
      <c r="H37" s="25"/>
      <c r="I37" s="25"/>
      <c r="J37" s="168">
        <v>-1000000</v>
      </c>
      <c r="K37" s="168">
        <v>-1000000</v>
      </c>
      <c r="L37" s="168">
        <v>-1000000</v>
      </c>
      <c r="M37" s="25" t="s">
        <v>948</v>
      </c>
      <c r="N37" s="25" t="s">
        <v>607</v>
      </c>
      <c r="O37" s="25" t="s">
        <v>608</v>
      </c>
      <c r="P37" s="25" t="s">
        <v>221</v>
      </c>
      <c r="Q37" s="25" t="s">
        <v>222</v>
      </c>
      <c r="R37" s="25"/>
      <c r="S37" s="153"/>
      <c r="T37" s="25"/>
      <c r="U37" s="25"/>
      <c r="V37" s="25" t="s">
        <v>951</v>
      </c>
      <c r="W37" s="25" t="s">
        <v>952</v>
      </c>
      <c r="X37" s="189">
        <v>45817</v>
      </c>
      <c r="Y37" s="25"/>
      <c r="Z37" s="25"/>
      <c r="AA37" s="25">
        <v>1000000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32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</row>
    <row r="38" ht="14.4" spans="1:49">
      <c r="A38" s="150"/>
      <c r="B38" s="13"/>
      <c r="C38" s="13"/>
      <c r="D38" s="15"/>
      <c r="E38" s="152" t="s">
        <v>173</v>
      </c>
      <c r="F38" s="151" t="s">
        <v>256</v>
      </c>
      <c r="G38" s="152" t="s">
        <v>927</v>
      </c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25" t="s">
        <v>951</v>
      </c>
      <c r="W38" s="25" t="s">
        <v>952</v>
      </c>
      <c r="X38" s="189">
        <v>45817</v>
      </c>
      <c r="Y38" s="153"/>
      <c r="Z38" s="153"/>
      <c r="AA38" s="25">
        <v>1000000</v>
      </c>
      <c r="AB38" s="153"/>
      <c r="AC38" s="153"/>
      <c r="AD38" s="153"/>
      <c r="AE38" s="153"/>
      <c r="AF38" s="153"/>
      <c r="AG38" s="153"/>
      <c r="AH38" s="153"/>
      <c r="AI38" s="153"/>
      <c r="AJ38" s="153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</row>
    <row r="39" ht="14.4" spans="1:49">
      <c r="A39" s="150"/>
      <c r="B39" s="13"/>
      <c r="C39" s="13"/>
      <c r="D39" s="15"/>
      <c r="E39" s="152" t="s">
        <v>172</v>
      </c>
      <c r="F39" s="151" t="s">
        <v>256</v>
      </c>
      <c r="G39" s="152" t="s">
        <v>953</v>
      </c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25" t="s">
        <v>951</v>
      </c>
      <c r="W39" s="25" t="s">
        <v>952</v>
      </c>
      <c r="X39" s="189">
        <v>45817</v>
      </c>
      <c r="Y39" s="153"/>
      <c r="Z39" s="153"/>
      <c r="AA39" s="25">
        <v>1000000</v>
      </c>
      <c r="AB39" s="153"/>
      <c r="AC39" s="153"/>
      <c r="AD39" s="153"/>
      <c r="AE39" s="153"/>
      <c r="AF39" s="153"/>
      <c r="AG39" s="153"/>
      <c r="AH39" s="153"/>
      <c r="AI39" s="153"/>
      <c r="AJ39" s="153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</row>
    <row r="40" ht="15" spans="8:12">
      <c r="H40" s="154"/>
      <c r="I40" s="173"/>
      <c r="J40" s="173"/>
      <c r="K40" s="173"/>
      <c r="L40" s="173"/>
    </row>
    <row r="41" ht="15" spans="8:12">
      <c r="H41" s="154"/>
      <c r="I41" s="173"/>
      <c r="J41" s="173"/>
      <c r="K41" s="173"/>
      <c r="L41" s="173"/>
    </row>
    <row r="42" ht="15" spans="8:12">
      <c r="H42" s="154"/>
      <c r="I42" s="173"/>
      <c r="J42" s="173"/>
      <c r="K42" s="173"/>
      <c r="L42" s="173"/>
    </row>
    <row r="43" ht="15" spans="8:12">
      <c r="H43" s="154"/>
      <c r="I43" s="173"/>
      <c r="J43" s="173"/>
      <c r="K43" s="173"/>
      <c r="L43" s="173"/>
    </row>
    <row r="44" ht="15" spans="8:12">
      <c r="H44" s="154"/>
      <c r="I44" s="173"/>
      <c r="J44" s="173"/>
      <c r="K44" s="173"/>
      <c r="L44" s="173"/>
    </row>
    <row r="45" ht="15" spans="8:12">
      <c r="H45" s="154"/>
      <c r="I45" s="174"/>
      <c r="J45" s="174"/>
      <c r="K45" s="174"/>
      <c r="L45" s="174"/>
    </row>
    <row r="46" ht="15" spans="8:12">
      <c r="H46" s="154"/>
      <c r="I46" s="174"/>
      <c r="J46" s="174"/>
      <c r="K46" s="174"/>
      <c r="L46" s="174"/>
    </row>
    <row r="47" ht="15" spans="8:12">
      <c r="H47" s="154"/>
      <c r="I47" s="174"/>
      <c r="J47" s="174"/>
      <c r="K47" s="174"/>
      <c r="L47" s="174"/>
    </row>
    <row r="48" ht="15" spans="8:12">
      <c r="H48" s="154"/>
      <c r="I48" s="174"/>
      <c r="J48" s="174"/>
      <c r="K48" s="174"/>
      <c r="L48" s="174"/>
    </row>
    <row r="49" ht="15" spans="8:12">
      <c r="H49" s="154"/>
      <c r="I49" s="174"/>
      <c r="J49" s="174"/>
      <c r="K49" s="174"/>
      <c r="L49" s="174"/>
    </row>
    <row r="50" ht="15" spans="8:12">
      <c r="H50" s="154"/>
      <c r="I50" s="174"/>
      <c r="J50" s="174"/>
      <c r="K50" s="174"/>
      <c r="L50" s="174"/>
    </row>
    <row r="51" ht="15" spans="8:12">
      <c r="H51" s="154"/>
      <c r="I51" s="174"/>
      <c r="J51" s="174"/>
      <c r="K51" s="174"/>
      <c r="L51" s="174"/>
    </row>
    <row r="52" ht="15" spans="8:12">
      <c r="H52" s="154"/>
      <c r="I52" s="174"/>
      <c r="J52" s="174"/>
      <c r="K52" s="174"/>
      <c r="L52" s="174"/>
    </row>
    <row r="53" ht="15" spans="8:72">
      <c r="H53" s="154"/>
      <c r="I53" s="174"/>
      <c r="J53" s="174"/>
      <c r="K53" s="174"/>
      <c r="L53" s="174"/>
      <c r="BT53" s="154"/>
    </row>
    <row r="54" ht="15" spans="8:12">
      <c r="H54" s="154"/>
      <c r="I54" s="173"/>
      <c r="J54" s="173"/>
      <c r="K54" s="173"/>
      <c r="L54" s="173"/>
    </row>
    <row r="55" ht="15" spans="8:12">
      <c r="H55" s="154"/>
      <c r="I55" s="173"/>
      <c r="J55" s="173"/>
      <c r="K55" s="173"/>
      <c r="L55" s="173"/>
    </row>
    <row r="56" ht="15" spans="8:12">
      <c r="H56" s="154"/>
      <c r="I56" s="173"/>
      <c r="J56" s="173"/>
      <c r="K56" s="173"/>
      <c r="L56" s="173"/>
    </row>
    <row r="57" ht="15" spans="8:12">
      <c r="H57" s="154"/>
      <c r="I57" s="173"/>
      <c r="J57" s="173"/>
      <c r="K57" s="173"/>
      <c r="L57" s="173"/>
    </row>
    <row r="58" ht="15" spans="8:12">
      <c r="H58" s="154"/>
      <c r="I58" s="173"/>
      <c r="J58" s="173"/>
      <c r="K58" s="173"/>
      <c r="L58" s="173"/>
    </row>
    <row r="59" ht="15" spans="8:12">
      <c r="H59" s="154"/>
      <c r="I59" s="173"/>
      <c r="J59" s="173"/>
      <c r="K59" s="173"/>
      <c r="L59" s="173"/>
    </row>
    <row r="60" ht="15" spans="8:12">
      <c r="H60" s="154"/>
      <c r="I60" s="173"/>
      <c r="J60" s="173"/>
      <c r="K60" s="173"/>
      <c r="L60" s="173"/>
    </row>
    <row r="61" ht="15" spans="8:12">
      <c r="H61" s="154"/>
      <c r="I61" s="173"/>
      <c r="J61" s="173"/>
      <c r="K61" s="173"/>
      <c r="L61" s="173"/>
    </row>
    <row r="62" ht="15" spans="8:8">
      <c r="H62" s="154"/>
    </row>
    <row r="63" ht="15" spans="8:8">
      <c r="H63" s="154"/>
    </row>
    <row r="64" ht="15" spans="8:8">
      <c r="H64" s="154"/>
    </row>
    <row r="65" ht="15" spans="8:8">
      <c r="H65" s="154"/>
    </row>
    <row r="66" ht="15" spans="8:8">
      <c r="H66" s="154"/>
    </row>
    <row r="67" ht="15" spans="8:8">
      <c r="H67" s="154"/>
    </row>
    <row r="68" ht="15" spans="8:8">
      <c r="H68" s="154"/>
    </row>
    <row r="69" ht="15" spans="8:8">
      <c r="H69" s="154"/>
    </row>
    <row r="70" ht="15" spans="8:8">
      <c r="H70" s="154"/>
    </row>
    <row r="71" ht="15" spans="8:8">
      <c r="H71" s="154"/>
    </row>
    <row r="72" ht="15" spans="8:8">
      <c r="H72" s="154"/>
    </row>
    <row r="73" ht="15" spans="8:8">
      <c r="H73" s="154"/>
    </row>
    <row r="74" ht="15" spans="8:8">
      <c r="H74" s="154"/>
    </row>
    <row r="75" ht="15" spans="8:8">
      <c r="H75" s="154"/>
    </row>
    <row r="76" ht="15" spans="8:8">
      <c r="H76" s="154"/>
    </row>
    <row r="77" ht="15" spans="8:8">
      <c r="H77" s="154"/>
    </row>
    <row r="78" ht="15" spans="8:8">
      <c r="H78" s="154"/>
    </row>
    <row r="79" ht="15" spans="8:8">
      <c r="H79" s="154"/>
    </row>
    <row r="80" ht="15" spans="8:8">
      <c r="H80" s="154"/>
    </row>
    <row r="81" ht="15" spans="8:8">
      <c r="H81" s="154"/>
    </row>
    <row r="82" ht="15" spans="8:8">
      <c r="H82" s="154"/>
    </row>
    <row r="83" ht="15" spans="8:8">
      <c r="H83" s="154"/>
    </row>
    <row r="84" ht="15" spans="8:8">
      <c r="H84" s="154"/>
    </row>
    <row r="85" ht="15" spans="8:8">
      <c r="H85" s="154"/>
    </row>
    <row r="86" ht="15" spans="8:8">
      <c r="H86" s="154"/>
    </row>
    <row r="87" ht="15" spans="8:8">
      <c r="H87" s="154"/>
    </row>
    <row r="88" ht="15" spans="8:8">
      <c r="H88" s="154"/>
    </row>
    <row r="89" ht="15" spans="8:8">
      <c r="H89" s="154"/>
    </row>
    <row r="90" ht="15" spans="8:8">
      <c r="H90" s="154"/>
    </row>
    <row r="91" ht="15" spans="8:8">
      <c r="H91" s="154"/>
    </row>
    <row r="92" ht="15" spans="8:8">
      <c r="H92" s="154"/>
    </row>
    <row r="93" ht="15" spans="8:8">
      <c r="H93" s="154"/>
    </row>
    <row r="94" ht="15" spans="8:8">
      <c r="H94" s="154"/>
    </row>
    <row r="95" ht="15" spans="8:8">
      <c r="H95" s="154"/>
    </row>
    <row r="96" ht="15" spans="8:8">
      <c r="H96" s="154"/>
    </row>
    <row r="97" ht="15" spans="8:8">
      <c r="H97" s="154"/>
    </row>
    <row r="98" ht="15" spans="8:8">
      <c r="H98" s="154"/>
    </row>
    <row r="99" ht="15" spans="8:8">
      <c r="H99" s="154"/>
    </row>
    <row r="100" ht="15" spans="8:8">
      <c r="H100" s="154"/>
    </row>
    <row r="101" ht="15" spans="8:8">
      <c r="H101" s="154"/>
    </row>
    <row r="102" ht="15" spans="8:8">
      <c r="H102" s="154"/>
    </row>
    <row r="103" ht="15" spans="8:8">
      <c r="H103" s="154"/>
    </row>
    <row r="104" ht="15" spans="8:8">
      <c r="H104" s="154"/>
    </row>
    <row r="105" ht="15" spans="8:8">
      <c r="H105" s="154"/>
    </row>
    <row r="106" ht="15" spans="8:8">
      <c r="H106" s="154"/>
    </row>
    <row r="107" ht="15" spans="8:8">
      <c r="H107" s="154"/>
    </row>
    <row r="108" ht="15" spans="8:8">
      <c r="H108" s="154"/>
    </row>
    <row r="109" ht="15" spans="8:8">
      <c r="H109" s="154"/>
    </row>
    <row r="110" ht="15" spans="8:8">
      <c r="H110" s="154"/>
    </row>
    <row r="111" ht="15" spans="8:8">
      <c r="H111" s="154"/>
    </row>
    <row r="112" ht="15" spans="8:8">
      <c r="H112" s="154"/>
    </row>
    <row r="113" ht="15" spans="8:8">
      <c r="H113" s="154"/>
    </row>
    <row r="114" ht="15" spans="8:8">
      <c r="H114" s="154"/>
    </row>
    <row r="115" ht="15" spans="8:8">
      <c r="H115" s="154"/>
    </row>
    <row r="116" ht="15" spans="8:8">
      <c r="H116" s="154"/>
    </row>
    <row r="117" ht="15" spans="8:8">
      <c r="H117" s="154"/>
    </row>
    <row r="118" ht="15" spans="8:8">
      <c r="H118" s="154"/>
    </row>
    <row r="119" ht="15" spans="8:8">
      <c r="H119" s="154"/>
    </row>
    <row r="120" ht="15" spans="8:8">
      <c r="H120" s="154"/>
    </row>
    <row r="121" ht="15" spans="8:8">
      <c r="H121" s="154"/>
    </row>
    <row r="122" ht="15" spans="8:8">
      <c r="H122" s="154"/>
    </row>
    <row r="123" ht="15" spans="8:8">
      <c r="H123" s="154"/>
    </row>
    <row r="124" ht="15" spans="8:8">
      <c r="H124" s="154"/>
    </row>
    <row r="125" ht="15" spans="8:8">
      <c r="H125" s="154"/>
    </row>
    <row r="126" ht="15" spans="8:8">
      <c r="H126" s="154"/>
    </row>
    <row r="127" ht="15" spans="8:8">
      <c r="H127" s="154"/>
    </row>
    <row r="128" ht="15" spans="8:8">
      <c r="H128" s="154"/>
    </row>
    <row r="129" ht="15" spans="8:8">
      <c r="H129" s="154"/>
    </row>
    <row r="130" ht="15" spans="8:8">
      <c r="H130" s="154"/>
    </row>
    <row r="131" ht="15" spans="8:8">
      <c r="H131" s="154"/>
    </row>
    <row r="132" ht="15" spans="8:8">
      <c r="H132" s="154"/>
    </row>
    <row r="133" ht="15" spans="8:8">
      <c r="H133" s="154"/>
    </row>
    <row r="134" ht="15" spans="8:8">
      <c r="H134" s="154"/>
    </row>
    <row r="135" ht="15" spans="8:8">
      <c r="H135" s="154"/>
    </row>
    <row r="136" ht="15" spans="8:8">
      <c r="H136" s="154"/>
    </row>
    <row r="137" ht="15" spans="8:8">
      <c r="H137" s="154"/>
    </row>
    <row r="138" ht="15" spans="8:8">
      <c r="H138" s="154"/>
    </row>
    <row r="139" ht="15" spans="8:8">
      <c r="H139" s="154"/>
    </row>
    <row r="140" ht="15" spans="8:8">
      <c r="H140" s="154"/>
    </row>
    <row r="141" ht="15" spans="8:8">
      <c r="H141" s="154"/>
    </row>
    <row r="142" ht="15" spans="8:8">
      <c r="H142" s="154"/>
    </row>
    <row r="143" ht="15" spans="8:8">
      <c r="H143" s="154"/>
    </row>
    <row r="144" ht="15" spans="8:8">
      <c r="H144" s="154"/>
    </row>
    <row r="145" ht="15" spans="8:8">
      <c r="H145" s="154"/>
    </row>
    <row r="146" ht="15" spans="8:8">
      <c r="H146" s="154"/>
    </row>
    <row r="147" ht="15" spans="8:8">
      <c r="H147" s="154"/>
    </row>
    <row r="148" ht="15" spans="8:8">
      <c r="H148" s="154"/>
    </row>
    <row r="149" ht="15" spans="8:8">
      <c r="H149" s="154"/>
    </row>
    <row r="150" ht="15" spans="8:8">
      <c r="H150" s="154"/>
    </row>
    <row r="151" ht="15" spans="8:8">
      <c r="H151" s="154"/>
    </row>
    <row r="152" ht="15" spans="8:8">
      <c r="H152" s="154"/>
    </row>
    <row r="153" ht="15" spans="8:8">
      <c r="H153" s="154"/>
    </row>
    <row r="154" ht="15" spans="8:8">
      <c r="H154" s="154"/>
    </row>
    <row r="155" ht="15" spans="8:8">
      <c r="H155" s="154"/>
    </row>
    <row r="156" ht="15" spans="8:8">
      <c r="H156" s="154"/>
    </row>
    <row r="157" ht="15" spans="8:8">
      <c r="H157" s="154"/>
    </row>
    <row r="158" ht="15" spans="8:8">
      <c r="H158" s="154"/>
    </row>
    <row r="159" ht="15" spans="8:8">
      <c r="H159" s="154"/>
    </row>
    <row r="160" ht="15" spans="8:8">
      <c r="H160" s="154"/>
    </row>
    <row r="161" ht="15" spans="8:8">
      <c r="H161" s="154"/>
    </row>
    <row r="162" ht="15" spans="8:8">
      <c r="H162" s="154"/>
    </row>
    <row r="163" ht="15" spans="8:8">
      <c r="H163" s="154"/>
    </row>
    <row r="164" ht="15" spans="8:8">
      <c r="H164" s="154"/>
    </row>
    <row r="165" ht="15" spans="8:8">
      <c r="H165" s="154"/>
    </row>
    <row r="166" ht="15" spans="8:8">
      <c r="H166" s="154"/>
    </row>
    <row r="167" ht="15" spans="8:8">
      <c r="H167" s="154"/>
    </row>
    <row r="168" ht="15" spans="8:8">
      <c r="H168" s="154"/>
    </row>
    <row r="169" ht="15" spans="8:8">
      <c r="H169" s="154"/>
    </row>
    <row r="170" ht="15" spans="8:8">
      <c r="H170" s="154"/>
    </row>
    <row r="171" ht="15" spans="8:8">
      <c r="H171" s="154"/>
    </row>
    <row r="172" ht="15" spans="8:8">
      <c r="H172" s="154"/>
    </row>
    <row r="173" ht="15" spans="8:8">
      <c r="H173" s="154"/>
    </row>
    <row r="174" ht="15" spans="8:8">
      <c r="H174" s="154"/>
    </row>
    <row r="175" ht="15" spans="8:8">
      <c r="H175" s="154"/>
    </row>
    <row r="176" ht="15" spans="8:8">
      <c r="H176" s="154"/>
    </row>
    <row r="177" ht="15" spans="8:8">
      <c r="H177" s="154"/>
    </row>
    <row r="178" ht="15" spans="8:8">
      <c r="H178" s="154"/>
    </row>
    <row r="179" ht="15" spans="8:8">
      <c r="H179" s="154"/>
    </row>
    <row r="180" ht="15" spans="8:8">
      <c r="H180" s="154"/>
    </row>
    <row r="181" ht="15" spans="8:8">
      <c r="H181" s="154"/>
    </row>
    <row r="182" ht="15" spans="8:8">
      <c r="H182" s="154"/>
    </row>
    <row r="183" ht="15" spans="8:8">
      <c r="H183" s="154"/>
    </row>
    <row r="184" ht="15" spans="8:8">
      <c r="H184" s="154"/>
    </row>
    <row r="185" ht="15" spans="8:8">
      <c r="H185" s="154"/>
    </row>
    <row r="186" ht="15" spans="8:8">
      <c r="H186" s="154"/>
    </row>
    <row r="187" ht="15" spans="8:8">
      <c r="H187" s="154"/>
    </row>
  </sheetData>
  <mergeCells count="32">
    <mergeCell ref="A2:A8"/>
    <mergeCell ref="A9:A19"/>
    <mergeCell ref="A20:A28"/>
    <mergeCell ref="A29:A39"/>
    <mergeCell ref="B2:B4"/>
    <mergeCell ref="B6:B7"/>
    <mergeCell ref="B9:B11"/>
    <mergeCell ref="B13:B15"/>
    <mergeCell ref="B17:B19"/>
    <mergeCell ref="B20:B21"/>
    <mergeCell ref="B22:B24"/>
    <mergeCell ref="B25:B27"/>
    <mergeCell ref="B29:B30"/>
    <mergeCell ref="B31:B33"/>
    <mergeCell ref="B34:B36"/>
    <mergeCell ref="B37:B39"/>
    <mergeCell ref="C2:C8"/>
    <mergeCell ref="C9:C19"/>
    <mergeCell ref="C20:C28"/>
    <mergeCell ref="C29:C39"/>
    <mergeCell ref="D2:D4"/>
    <mergeCell ref="D6:D7"/>
    <mergeCell ref="D9:D11"/>
    <mergeCell ref="D13:D15"/>
    <mergeCell ref="D17:D19"/>
    <mergeCell ref="D20:D21"/>
    <mergeCell ref="D22:D24"/>
    <mergeCell ref="D25:D27"/>
    <mergeCell ref="D29:D30"/>
    <mergeCell ref="D31:D33"/>
    <mergeCell ref="D34:D36"/>
    <mergeCell ref="D37:D39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接口自动化（一期）"/>
  <dimension ref="A1:L30"/>
  <sheetViews>
    <sheetView workbookViewId="0">
      <selection activeCell="A1" sqref="A1"/>
    </sheetView>
  </sheetViews>
  <sheetFormatPr defaultColWidth="14" defaultRowHeight="18" customHeight="1"/>
  <cols>
    <col min="2" max="2" width="27.7962962962963" customWidth="1"/>
    <col min="3" max="3" width="35.6203703703704" customWidth="1"/>
    <col min="4" max="4" width="29.8148148148148" customWidth="1"/>
  </cols>
  <sheetData>
    <row r="1" ht="36" customHeight="1" spans="1:12">
      <c r="A1" s="108" t="s">
        <v>954</v>
      </c>
      <c r="B1" s="108" t="s">
        <v>955</v>
      </c>
      <c r="C1" s="126"/>
      <c r="D1" s="126" t="s">
        <v>956</v>
      </c>
      <c r="I1" s="128" t="s">
        <v>957</v>
      </c>
      <c r="J1" s="13"/>
      <c r="K1" s="13"/>
      <c r="L1" s="13"/>
    </row>
    <row r="2" ht="14.4" spans="1:12">
      <c r="A2" s="13" t="s">
        <v>958</v>
      </c>
      <c r="B2" s="13" t="s">
        <v>959</v>
      </c>
      <c r="C2" s="109">
        <v>1</v>
      </c>
      <c r="D2" s="13"/>
      <c r="I2" s="129" t="s">
        <v>960</v>
      </c>
      <c r="J2" s="129" t="s">
        <v>961</v>
      </c>
      <c r="K2" s="129" t="s">
        <v>962</v>
      </c>
      <c r="L2" s="129" t="s">
        <v>963</v>
      </c>
    </row>
    <row r="3" ht="12" spans="1:12">
      <c r="A3" s="13"/>
      <c r="B3" s="13" t="s">
        <v>964</v>
      </c>
      <c r="C3" s="109">
        <v>1</v>
      </c>
      <c r="D3" s="13"/>
      <c r="I3" s="13" t="s">
        <v>965</v>
      </c>
      <c r="J3" s="13" t="s">
        <v>966</v>
      </c>
      <c r="K3" s="13" t="s">
        <v>967</v>
      </c>
      <c r="L3" s="13" t="s">
        <v>968</v>
      </c>
    </row>
    <row r="4" ht="12" spans="1:12">
      <c r="A4" s="13"/>
      <c r="B4" s="13" t="s">
        <v>969</v>
      </c>
      <c r="C4" s="109">
        <v>1</v>
      </c>
      <c r="D4" s="13"/>
      <c r="I4" s="13" t="s">
        <v>970</v>
      </c>
      <c r="J4" s="13" t="s">
        <v>971</v>
      </c>
      <c r="K4" s="13" t="s">
        <v>967</v>
      </c>
      <c r="L4" s="13" t="s">
        <v>972</v>
      </c>
    </row>
    <row r="5" ht="12" spans="1:12">
      <c r="A5" s="102" t="s">
        <v>973</v>
      </c>
      <c r="B5" s="13" t="s">
        <v>974</v>
      </c>
      <c r="C5" s="109">
        <v>3</v>
      </c>
      <c r="D5" s="13"/>
      <c r="I5" s="13"/>
      <c r="J5" s="13"/>
      <c r="K5" s="13"/>
      <c r="L5" s="13"/>
    </row>
    <row r="6" ht="12" spans="1:12">
      <c r="A6" s="127"/>
      <c r="B6" s="13" t="s">
        <v>975</v>
      </c>
      <c r="C6" s="109">
        <v>2</v>
      </c>
      <c r="D6" s="13"/>
      <c r="I6" s="13"/>
      <c r="J6" s="13"/>
      <c r="K6" s="13"/>
      <c r="L6" s="13"/>
    </row>
    <row r="7" ht="12" spans="1:4">
      <c r="A7" s="127"/>
      <c r="B7" s="13" t="s">
        <v>976</v>
      </c>
      <c r="C7" s="109">
        <v>11</v>
      </c>
      <c r="D7" s="13"/>
    </row>
    <row r="8" ht="12" spans="1:4">
      <c r="A8" s="127"/>
      <c r="B8" s="13" t="s">
        <v>977</v>
      </c>
      <c r="C8" s="109">
        <v>9</v>
      </c>
      <c r="D8" s="13" t="s">
        <v>978</v>
      </c>
    </row>
    <row r="9" ht="12" spans="1:4">
      <c r="A9" s="127"/>
      <c r="B9" s="13" t="s">
        <v>979</v>
      </c>
      <c r="C9" s="109">
        <v>7</v>
      </c>
      <c r="D9" s="13" t="s">
        <v>978</v>
      </c>
    </row>
    <row r="10" ht="12" spans="1:4">
      <c r="A10" s="127"/>
      <c r="B10" s="13" t="s">
        <v>980</v>
      </c>
      <c r="C10" s="109">
        <v>8</v>
      </c>
      <c r="D10" s="13" t="s">
        <v>978</v>
      </c>
    </row>
    <row r="11" ht="12" spans="1:4">
      <c r="A11" s="127"/>
      <c r="B11" s="13" t="s">
        <v>981</v>
      </c>
      <c r="C11" s="109">
        <v>8</v>
      </c>
      <c r="D11" s="13" t="s">
        <v>978</v>
      </c>
    </row>
    <row r="12" ht="12" spans="1:4">
      <c r="A12" s="13" t="s">
        <v>982</v>
      </c>
      <c r="B12" s="13" t="s">
        <v>983</v>
      </c>
      <c r="C12" s="109">
        <v>15</v>
      </c>
      <c r="D12" s="13" t="s">
        <v>978</v>
      </c>
    </row>
    <row r="13" ht="12" spans="1:4">
      <c r="A13" s="13" t="s">
        <v>984</v>
      </c>
      <c r="B13" s="13" t="s">
        <v>985</v>
      </c>
      <c r="C13" s="109">
        <v>2</v>
      </c>
      <c r="D13" s="13"/>
    </row>
    <row r="14" ht="12" spans="1:4">
      <c r="A14" s="105" t="s">
        <v>986</v>
      </c>
      <c r="B14" s="13" t="s">
        <v>987</v>
      </c>
      <c r="C14" s="109">
        <v>3</v>
      </c>
      <c r="D14" s="13"/>
    </row>
    <row r="15" ht="12" spans="1:4">
      <c r="A15" s="103"/>
      <c r="B15" s="13" t="s">
        <v>988</v>
      </c>
      <c r="C15" s="109">
        <v>2</v>
      </c>
      <c r="D15" s="13"/>
    </row>
    <row r="16" ht="12" spans="1:4">
      <c r="A16" s="105" t="s">
        <v>989</v>
      </c>
      <c r="B16" s="13" t="s">
        <v>990</v>
      </c>
      <c r="C16" s="109">
        <v>1</v>
      </c>
      <c r="D16" s="13"/>
    </row>
    <row r="17" ht="12" spans="1:4">
      <c r="A17" s="127"/>
      <c r="B17" s="13" t="s">
        <v>991</v>
      </c>
      <c r="C17" s="109">
        <v>1</v>
      </c>
      <c r="D17" s="13"/>
    </row>
    <row r="18" ht="12" spans="1:4">
      <c r="A18" s="127"/>
      <c r="B18" s="13" t="s">
        <v>992</v>
      </c>
      <c r="C18" s="109">
        <v>1</v>
      </c>
      <c r="D18" s="13"/>
    </row>
    <row r="19" ht="12" spans="1:4">
      <c r="A19" s="127"/>
      <c r="B19" s="13" t="s">
        <v>993</v>
      </c>
      <c r="C19" s="109">
        <v>3</v>
      </c>
      <c r="D19" s="13"/>
    </row>
    <row r="20" ht="12" spans="1:4">
      <c r="A20" s="127"/>
      <c r="B20" s="13" t="s">
        <v>994</v>
      </c>
      <c r="C20" s="109">
        <v>2</v>
      </c>
      <c r="D20" s="13"/>
    </row>
    <row r="21" ht="12" spans="1:4">
      <c r="A21" s="127"/>
      <c r="B21" s="13" t="s">
        <v>995</v>
      </c>
      <c r="C21" s="109">
        <v>3</v>
      </c>
      <c r="D21" s="13"/>
    </row>
    <row r="22" ht="12" spans="1:4">
      <c r="A22" s="105" t="s">
        <v>996</v>
      </c>
      <c r="B22" s="13" t="s">
        <v>997</v>
      </c>
      <c r="C22" s="109">
        <v>17</v>
      </c>
      <c r="D22" s="13"/>
    </row>
    <row r="23" ht="12" spans="1:4">
      <c r="A23" s="127"/>
      <c r="B23" s="13" t="s">
        <v>998</v>
      </c>
      <c r="C23" s="109">
        <v>11</v>
      </c>
      <c r="D23" s="13"/>
    </row>
    <row r="24" ht="12" spans="1:4">
      <c r="A24" s="127"/>
      <c r="B24" s="13" t="s">
        <v>999</v>
      </c>
      <c r="C24" s="109">
        <v>4</v>
      </c>
      <c r="D24" s="13"/>
    </row>
    <row r="25" ht="12" spans="1:4">
      <c r="A25" s="127"/>
      <c r="B25" s="13" t="s">
        <v>1000</v>
      </c>
      <c r="C25" s="109">
        <v>2</v>
      </c>
      <c r="D25" s="13"/>
    </row>
    <row r="26" ht="12" spans="1:4">
      <c r="A26" s="103"/>
      <c r="B26" s="13"/>
      <c r="C26" s="109"/>
      <c r="D26" s="13"/>
    </row>
    <row r="27" ht="12" spans="1:4">
      <c r="A27" s="13"/>
      <c r="B27" s="13"/>
      <c r="C27" s="109"/>
      <c r="D27" s="13"/>
    </row>
    <row r="28" ht="12" spans="1:4">
      <c r="A28" s="13"/>
      <c r="B28" s="13"/>
      <c r="C28" s="109"/>
      <c r="D28" s="13"/>
    </row>
    <row r="29" ht="12" spans="1:4">
      <c r="A29" s="13"/>
      <c r="B29" s="13"/>
      <c r="C29" s="109"/>
      <c r="D29" s="13"/>
    </row>
    <row r="30" ht="12" spans="1:4">
      <c r="A30" s="13"/>
      <c r="B30" s="13"/>
      <c r="C30" s="109"/>
      <c r="D30" s="13"/>
    </row>
  </sheetData>
  <mergeCells count="6">
    <mergeCell ref="I1:L1"/>
    <mergeCell ref="A2:A4"/>
    <mergeCell ref="A5:A11"/>
    <mergeCell ref="A14:A15"/>
    <mergeCell ref="A16:A21"/>
    <mergeCell ref="A22:A26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人力投入统计"/>
  <dimension ref="A1:J17"/>
  <sheetViews>
    <sheetView workbookViewId="0">
      <selection activeCell="A1" sqref="A1"/>
    </sheetView>
  </sheetViews>
  <sheetFormatPr defaultColWidth="14" defaultRowHeight="18" customHeight="1"/>
  <cols>
    <col min="1" max="1" width="20.1018518518519" customWidth="1"/>
    <col min="2" max="2" width="20.2314814814815" customWidth="1"/>
    <col min="7" max="7" width="27.5277777777778" customWidth="1"/>
    <col min="8" max="8" width="20.6481481481481" customWidth="1"/>
    <col min="9" max="9" width="22.1203703703704" style="106" customWidth="1"/>
    <col min="10" max="10" width="29.2777777777778" customWidth="1"/>
  </cols>
  <sheetData>
    <row r="1" ht="32.25" customHeight="1" spans="1:10">
      <c r="A1" s="108" t="s">
        <v>1001</v>
      </c>
      <c r="B1" s="108" t="s">
        <v>1002</v>
      </c>
      <c r="C1" s="108" t="s">
        <v>1003</v>
      </c>
      <c r="D1" s="108" t="s">
        <v>1004</v>
      </c>
      <c r="E1" s="108" t="s">
        <v>1005</v>
      </c>
      <c r="G1" s="124" t="s">
        <v>1001</v>
      </c>
      <c r="H1" s="124" t="s">
        <v>1003</v>
      </c>
      <c r="I1" s="125" t="s">
        <v>1005</v>
      </c>
      <c r="J1" s="124" t="s">
        <v>1004</v>
      </c>
    </row>
    <row r="2" ht="60" spans="1:10">
      <c r="A2" s="13" t="s">
        <v>1006</v>
      </c>
      <c r="B2" s="19" t="s">
        <v>1007</v>
      </c>
      <c r="C2" s="13" t="s">
        <v>1008</v>
      </c>
      <c r="D2" s="19" t="s">
        <v>1009</v>
      </c>
      <c r="E2" s="13">
        <v>32</v>
      </c>
      <c r="F2" s="1"/>
      <c r="G2" s="13" t="s">
        <v>1006</v>
      </c>
      <c r="H2" s="13" t="s">
        <v>1010</v>
      </c>
      <c r="I2" s="119">
        <v>44</v>
      </c>
      <c r="J2" s="19" t="s">
        <v>1011</v>
      </c>
    </row>
    <row r="3" ht="102" customHeight="1" spans="1:10">
      <c r="A3" s="13" t="s">
        <v>1012</v>
      </c>
      <c r="B3" s="19" t="s">
        <v>1013</v>
      </c>
      <c r="C3" s="13" t="s">
        <v>1014</v>
      </c>
      <c r="D3" s="19" t="s">
        <v>1015</v>
      </c>
      <c r="E3" s="13">
        <v>8</v>
      </c>
      <c r="G3" s="13" t="s">
        <v>1016</v>
      </c>
      <c r="H3" s="13" t="s">
        <v>1017</v>
      </c>
      <c r="I3" s="119">
        <v>25</v>
      </c>
      <c r="J3" s="19" t="s">
        <v>1018</v>
      </c>
    </row>
    <row r="4" ht="69.75" customHeight="1" spans="1:10">
      <c r="A4" s="13" t="s">
        <v>1019</v>
      </c>
      <c r="B4" s="13"/>
      <c r="C4" s="13" t="s">
        <v>1017</v>
      </c>
      <c r="D4" s="19" t="s">
        <v>1020</v>
      </c>
      <c r="E4" s="13">
        <v>24</v>
      </c>
      <c r="G4" s="13" t="s">
        <v>1021</v>
      </c>
      <c r="H4" s="19" t="s">
        <v>1022</v>
      </c>
      <c r="I4" s="119">
        <v>18</v>
      </c>
      <c r="J4" s="19" t="s">
        <v>1023</v>
      </c>
    </row>
    <row r="5" ht="36" spans="1:10">
      <c r="A5" s="13" t="s">
        <v>1021</v>
      </c>
      <c r="B5" s="13"/>
      <c r="C5" s="19" t="s">
        <v>1022</v>
      </c>
      <c r="D5" s="19" t="s">
        <v>1023</v>
      </c>
      <c r="E5" s="13">
        <v>18</v>
      </c>
      <c r="G5" s="13" t="s">
        <v>1024</v>
      </c>
      <c r="H5" s="13" t="s">
        <v>1025</v>
      </c>
      <c r="I5" s="119">
        <v>23</v>
      </c>
      <c r="J5" s="13" t="s">
        <v>1026</v>
      </c>
    </row>
    <row r="6" ht="12" spans="1:10">
      <c r="A6" s="13" t="s">
        <v>1024</v>
      </c>
      <c r="B6" s="13"/>
      <c r="C6" s="13" t="s">
        <v>1025</v>
      </c>
      <c r="D6" s="13" t="s">
        <v>1026</v>
      </c>
      <c r="E6" s="13">
        <v>23</v>
      </c>
      <c r="G6" s="13" t="s">
        <v>1027</v>
      </c>
      <c r="H6" s="19" t="s">
        <v>1028</v>
      </c>
      <c r="I6" s="119">
        <v>20</v>
      </c>
      <c r="J6" s="13" t="s">
        <v>1029</v>
      </c>
    </row>
    <row r="7" ht="12" spans="1:9">
      <c r="A7" s="13" t="s">
        <v>1027</v>
      </c>
      <c r="B7" s="13"/>
      <c r="C7" s="19" t="s">
        <v>1030</v>
      </c>
      <c r="D7" s="13" t="s">
        <v>1031</v>
      </c>
      <c r="E7" s="13">
        <v>15</v>
      </c>
      <c r="I7">
        <f>SUM(I2:I6)</f>
        <v>130</v>
      </c>
    </row>
    <row r="8" ht="12" spans="1:5">
      <c r="A8" s="13"/>
      <c r="B8" s="13"/>
      <c r="C8" s="13"/>
      <c r="D8" s="13"/>
      <c r="E8" s="13"/>
    </row>
    <row r="9" ht="12" spans="1:5">
      <c r="A9" s="13"/>
      <c r="B9" s="13"/>
      <c r="C9" s="13"/>
      <c r="D9" s="13"/>
      <c r="E9" s="13"/>
    </row>
    <row r="10" ht="12" spans="1:5">
      <c r="A10" s="13"/>
      <c r="B10" s="13"/>
      <c r="C10" s="13"/>
      <c r="D10" s="13"/>
      <c r="E10" s="13"/>
    </row>
    <row r="11" ht="12" spans="1:5">
      <c r="A11" s="13"/>
      <c r="B11" s="13"/>
      <c r="C11" s="13"/>
      <c r="D11" s="13"/>
      <c r="E11" s="13"/>
    </row>
    <row r="12" ht="12" spans="1:5">
      <c r="A12" s="13"/>
      <c r="B12" s="13"/>
      <c r="C12" s="13"/>
      <c r="D12" s="13"/>
      <c r="E12" s="13"/>
    </row>
    <row r="13" ht="12" spans="1:5">
      <c r="A13" s="13"/>
      <c r="B13" s="13"/>
      <c r="C13" s="13"/>
      <c r="D13" s="13"/>
      <c r="E13" s="13"/>
    </row>
    <row r="14" ht="12" spans="1:5">
      <c r="A14" s="13"/>
      <c r="B14" s="13"/>
      <c r="C14" s="13"/>
      <c r="D14" s="13"/>
      <c r="E14" s="13"/>
    </row>
    <row r="15" ht="12" spans="1:5">
      <c r="A15" s="13"/>
      <c r="B15" s="13"/>
      <c r="C15" s="13"/>
      <c r="D15" s="13"/>
      <c r="E15" s="13"/>
    </row>
    <row r="16" ht="12" spans="1:5">
      <c r="A16" s="13"/>
      <c r="B16" s="13"/>
      <c r="C16" s="13"/>
      <c r="D16" s="13"/>
      <c r="E16" s="13"/>
    </row>
    <row r="17" ht="12" spans="1:5">
      <c r="A17" s="13"/>
      <c r="B17" s="13"/>
      <c r="C17" s="13"/>
      <c r="D17" s="13"/>
      <c r="E17" s="13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自动化覆盖范围沟通"/>
  <dimension ref="A1:D19"/>
  <sheetViews>
    <sheetView workbookViewId="0">
      <selection activeCell="A1" sqref="A1"/>
    </sheetView>
  </sheetViews>
  <sheetFormatPr defaultColWidth="14" defaultRowHeight="18" customHeight="1" outlineLevelCol="3"/>
  <cols>
    <col min="1" max="1" width="22.2592592592593" customWidth="1"/>
    <col min="2" max="2" width="37.1018518518519" customWidth="1"/>
  </cols>
  <sheetData>
    <row r="1" ht="45" customHeight="1" spans="1:4">
      <c r="A1" s="108" t="s">
        <v>1032</v>
      </c>
      <c r="B1" s="123" t="s">
        <v>1033</v>
      </c>
      <c r="C1" s="108" t="s">
        <v>1034</v>
      </c>
      <c r="D1" s="108" t="s">
        <v>1035</v>
      </c>
    </row>
    <row r="2" ht="12" spans="1:4">
      <c r="A2" s="13" t="s">
        <v>1036</v>
      </c>
      <c r="B2" s="13" t="s">
        <v>1037</v>
      </c>
      <c r="C2" s="13" t="s">
        <v>1038</v>
      </c>
      <c r="D2" s="13"/>
    </row>
    <row r="3" ht="12" spans="1:4">
      <c r="A3" s="13" t="s">
        <v>1036</v>
      </c>
      <c r="B3" s="13" t="s">
        <v>1039</v>
      </c>
      <c r="C3" s="13" t="s">
        <v>1038</v>
      </c>
      <c r="D3" s="13"/>
    </row>
    <row r="4" ht="12" spans="1:4">
      <c r="A4" s="13" t="s">
        <v>1040</v>
      </c>
      <c r="B4" s="13"/>
      <c r="C4" s="13"/>
      <c r="D4" s="13"/>
    </row>
    <row r="5" ht="12" spans="1:4">
      <c r="A5" s="13"/>
      <c r="B5" s="13"/>
      <c r="C5" s="13"/>
      <c r="D5" s="13"/>
    </row>
    <row r="6" ht="12" spans="1:4">
      <c r="A6" s="13"/>
      <c r="B6" s="13"/>
      <c r="C6" s="13"/>
      <c r="D6" s="13"/>
    </row>
    <row r="7" ht="12" spans="1:4">
      <c r="A7" s="13"/>
      <c r="B7" s="13"/>
      <c r="C7" s="13"/>
      <c r="D7" s="13"/>
    </row>
    <row r="8" ht="12" spans="1:4">
      <c r="A8" s="13"/>
      <c r="B8" s="13"/>
      <c r="C8" s="13"/>
      <c r="D8" s="13"/>
    </row>
    <row r="9" ht="12" spans="1:4">
      <c r="A9" s="13"/>
      <c r="B9" s="13"/>
      <c r="C9" s="13"/>
      <c r="D9" s="13"/>
    </row>
    <row r="10" ht="12" spans="1:4">
      <c r="A10" s="13"/>
      <c r="B10" s="13"/>
      <c r="C10" s="13"/>
      <c r="D10" s="13"/>
    </row>
    <row r="11" ht="12" spans="1:4">
      <c r="A11" s="13"/>
      <c r="B11" s="13"/>
      <c r="C11" s="13"/>
      <c r="D11" s="13"/>
    </row>
    <row r="12" ht="12" spans="1:4">
      <c r="A12" s="13"/>
      <c r="B12" s="13"/>
      <c r="C12" s="13"/>
      <c r="D12" s="13"/>
    </row>
    <row r="13" ht="12" spans="1:4">
      <c r="A13" s="13"/>
      <c r="B13" s="13"/>
      <c r="C13" s="13"/>
      <c r="D13" s="13"/>
    </row>
    <row r="14" ht="12" spans="1:4">
      <c r="A14" s="13"/>
      <c r="B14" s="13"/>
      <c r="C14" s="13"/>
      <c r="D14" s="13"/>
    </row>
    <row r="15" ht="12" spans="1:4">
      <c r="A15" s="13"/>
      <c r="B15" s="13"/>
      <c r="C15" s="13"/>
      <c r="D15" s="13"/>
    </row>
    <row r="16" ht="12" spans="1:4">
      <c r="A16" s="13"/>
      <c r="B16" s="13"/>
      <c r="C16" s="13"/>
      <c r="D16" s="13"/>
    </row>
    <row r="17" ht="12" spans="1:4">
      <c r="A17" s="13"/>
      <c r="B17" s="13"/>
      <c r="C17" s="13"/>
      <c r="D17" s="13"/>
    </row>
    <row r="18" ht="12" spans="1:4">
      <c r="A18" s="13"/>
      <c r="B18" s="13"/>
      <c r="C18" s="13"/>
      <c r="D18" s="13"/>
    </row>
    <row r="19" ht="12" spans="1:4">
      <c r="A19" s="13"/>
      <c r="B19" s="13"/>
      <c r="C19" s="13"/>
      <c r="D19" s="13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自动化项目计划"/>
  <dimension ref="A1:Q22"/>
  <sheetViews>
    <sheetView workbookViewId="0">
      <selection activeCell="A1" sqref="A1:E1"/>
    </sheetView>
  </sheetViews>
  <sheetFormatPr defaultColWidth="14" defaultRowHeight="18" customHeight="1"/>
  <cols>
    <col min="1" max="1" width="16.462962962963" customWidth="1"/>
    <col min="2" max="2" width="40.3425925925926" customWidth="1"/>
    <col min="3" max="3" width="19.5648148148148" customWidth="1"/>
    <col min="4" max="4" width="15.5092592592593" customWidth="1"/>
    <col min="8" max="8" width="35.8981481481481" customWidth="1"/>
    <col min="9" max="9" width="13.6759259259259" style="106"/>
    <col min="11" max="11" width="18.8981481481481" customWidth="1"/>
    <col min="13" max="13" width="18.75" customWidth="1"/>
    <col min="14" max="14" width="29" customWidth="1"/>
  </cols>
  <sheetData>
    <row r="1" ht="37.5" customHeight="1" spans="1:17">
      <c r="A1" s="107" t="s">
        <v>1006</v>
      </c>
      <c r="B1" s="13"/>
      <c r="C1" s="13"/>
      <c r="D1" s="13"/>
      <c r="E1" s="13"/>
      <c r="G1" s="107" t="s">
        <v>1019</v>
      </c>
      <c r="H1" s="13"/>
      <c r="I1" s="13"/>
      <c r="J1" s="13"/>
      <c r="K1" s="13"/>
      <c r="M1" s="107" t="s">
        <v>1021</v>
      </c>
      <c r="N1" s="13"/>
      <c r="O1" s="13"/>
      <c r="P1" s="13"/>
      <c r="Q1" s="13"/>
    </row>
    <row r="2" ht="24" customHeight="1" spans="1:17">
      <c r="A2" s="108" t="s">
        <v>1041</v>
      </c>
      <c r="B2" s="108" t="s">
        <v>1042</v>
      </c>
      <c r="C2" s="108" t="s">
        <v>1043</v>
      </c>
      <c r="D2" s="108" t="s">
        <v>1044</v>
      </c>
      <c r="E2" s="108" t="s">
        <v>1045</v>
      </c>
      <c r="G2" s="108" t="s">
        <v>1041</v>
      </c>
      <c r="H2" s="108" t="s">
        <v>1042</v>
      </c>
      <c r="I2" s="118" t="s">
        <v>1043</v>
      </c>
      <c r="J2" s="108" t="s">
        <v>1044</v>
      </c>
      <c r="K2" s="108" t="s">
        <v>1045</v>
      </c>
      <c r="M2" s="108" t="s">
        <v>1041</v>
      </c>
      <c r="N2" s="108" t="s">
        <v>1042</v>
      </c>
      <c r="O2" s="108" t="s">
        <v>1043</v>
      </c>
      <c r="P2" s="108" t="s">
        <v>1044</v>
      </c>
      <c r="Q2" s="108" t="s">
        <v>1045</v>
      </c>
    </row>
    <row r="3" ht="53.25" customHeight="1" spans="1:17">
      <c r="A3" s="13" t="s">
        <v>1046</v>
      </c>
      <c r="B3" s="19" t="s">
        <v>1047</v>
      </c>
      <c r="C3" s="13" t="s">
        <v>1048</v>
      </c>
      <c r="D3" s="13">
        <v>7</v>
      </c>
      <c r="E3" s="19" t="s">
        <v>1049</v>
      </c>
      <c r="G3" s="13" t="s">
        <v>1019</v>
      </c>
      <c r="H3" s="19" t="s">
        <v>1050</v>
      </c>
      <c r="I3" s="119">
        <v>6.27</v>
      </c>
      <c r="J3" s="13"/>
      <c r="K3" s="19" t="s">
        <v>1038</v>
      </c>
      <c r="M3" s="13" t="s">
        <v>1046</v>
      </c>
      <c r="N3" s="19" t="s">
        <v>1051</v>
      </c>
      <c r="O3" s="13" t="s">
        <v>1052</v>
      </c>
      <c r="P3" s="13">
        <v>7</v>
      </c>
      <c r="Q3" s="19" t="s">
        <v>1053</v>
      </c>
    </row>
    <row r="4" ht="48" spans="1:17">
      <c r="A4" s="13" t="s">
        <v>1046</v>
      </c>
      <c r="B4" s="19" t="s">
        <v>1054</v>
      </c>
      <c r="C4" s="13" t="s">
        <v>1055</v>
      </c>
      <c r="D4" s="13">
        <v>4</v>
      </c>
      <c r="E4" s="19" t="s">
        <v>1056</v>
      </c>
      <c r="G4" s="13" t="s">
        <v>1019</v>
      </c>
      <c r="H4" s="102" t="s">
        <v>1057</v>
      </c>
      <c r="I4" s="120"/>
      <c r="J4" s="13"/>
      <c r="K4" s="19" t="s">
        <v>1058</v>
      </c>
      <c r="M4" s="13" t="s">
        <v>1046</v>
      </c>
      <c r="N4" s="19" t="s">
        <v>1059</v>
      </c>
      <c r="O4" s="13" t="s">
        <v>1017</v>
      </c>
      <c r="P4" s="13">
        <v>26</v>
      </c>
      <c r="Q4" s="19" t="s">
        <v>1060</v>
      </c>
    </row>
    <row r="5" ht="48" spans="1:17">
      <c r="A5" s="109" t="s">
        <v>1046</v>
      </c>
      <c r="B5" s="16" t="s">
        <v>1061</v>
      </c>
      <c r="C5" s="110">
        <v>5.22</v>
      </c>
      <c r="D5" s="13">
        <v>1</v>
      </c>
      <c r="E5" s="13" t="s">
        <v>1062</v>
      </c>
      <c r="G5" s="13" t="s">
        <v>1019</v>
      </c>
      <c r="H5" s="111" t="s">
        <v>1063</v>
      </c>
      <c r="I5" s="121"/>
      <c r="J5" s="13"/>
      <c r="K5" s="19"/>
      <c r="M5" s="109" t="s">
        <v>1046</v>
      </c>
      <c r="N5" s="16" t="s">
        <v>1064</v>
      </c>
      <c r="O5" s="110" t="s">
        <v>1065</v>
      </c>
      <c r="P5" s="13">
        <v>6</v>
      </c>
      <c r="Q5" s="19" t="s">
        <v>1066</v>
      </c>
    </row>
    <row r="6" ht="97.5" customHeight="1" spans="1:17">
      <c r="A6" s="109" t="s">
        <v>1046</v>
      </c>
      <c r="B6" s="19" t="s">
        <v>1067</v>
      </c>
      <c r="C6" s="112" t="s">
        <v>1068</v>
      </c>
      <c r="D6" s="13">
        <v>10</v>
      </c>
      <c r="E6" s="19" t="s">
        <v>1069</v>
      </c>
      <c r="G6" s="13" t="s">
        <v>1019</v>
      </c>
      <c r="H6" s="113" t="s">
        <v>1070</v>
      </c>
      <c r="I6" s="122"/>
      <c r="J6" s="13"/>
      <c r="K6" s="19"/>
      <c r="M6" s="109" t="s">
        <v>1046</v>
      </c>
      <c r="N6" s="100" t="s">
        <v>1071</v>
      </c>
      <c r="O6" s="112" t="s">
        <v>1072</v>
      </c>
      <c r="P6" s="13">
        <v>3</v>
      </c>
      <c r="Q6" s="19" t="s">
        <v>1073</v>
      </c>
    </row>
    <row r="7" ht="41.25" customHeight="1" spans="1:17">
      <c r="A7" s="109" t="s">
        <v>1046</v>
      </c>
      <c r="B7" s="16" t="s">
        <v>1074</v>
      </c>
      <c r="C7" s="112" t="s">
        <v>1075</v>
      </c>
      <c r="D7" s="13">
        <v>5</v>
      </c>
      <c r="E7" s="19" t="s">
        <v>1076</v>
      </c>
      <c r="G7" s="13" t="s">
        <v>1019</v>
      </c>
      <c r="H7" s="16" t="s">
        <v>1077</v>
      </c>
      <c r="I7" s="110"/>
      <c r="J7" s="13"/>
      <c r="K7" s="19"/>
      <c r="M7" s="109"/>
      <c r="N7" s="16"/>
      <c r="O7" s="112"/>
      <c r="P7" s="13"/>
      <c r="Q7" s="19"/>
    </row>
    <row r="8" ht="24" spans="1:17">
      <c r="A8" s="109" t="s">
        <v>1046</v>
      </c>
      <c r="B8" s="100" t="s">
        <v>1071</v>
      </c>
      <c r="C8" s="112" t="s">
        <v>1078</v>
      </c>
      <c r="D8" s="13">
        <v>5</v>
      </c>
      <c r="E8" s="19" t="s">
        <v>1076</v>
      </c>
      <c r="G8" s="13" t="s">
        <v>1019</v>
      </c>
      <c r="H8" s="100" t="s">
        <v>1079</v>
      </c>
      <c r="I8" s="110"/>
      <c r="J8" s="13"/>
      <c r="K8" s="19" t="s">
        <v>1058</v>
      </c>
      <c r="M8" s="109"/>
      <c r="N8" s="100"/>
      <c r="O8" s="112"/>
      <c r="P8" s="13"/>
      <c r="Q8" s="19"/>
    </row>
    <row r="9" ht="12" spans="1:17">
      <c r="A9" s="109" t="s">
        <v>1046</v>
      </c>
      <c r="B9" s="19" t="s">
        <v>1080</v>
      </c>
      <c r="C9" s="110">
        <v>6.13</v>
      </c>
      <c r="D9" s="13">
        <v>0</v>
      </c>
      <c r="E9" s="13" t="s">
        <v>1081</v>
      </c>
      <c r="G9" s="13"/>
      <c r="H9" s="19"/>
      <c r="I9" s="110"/>
      <c r="J9" s="13"/>
      <c r="K9" s="13"/>
      <c r="M9" s="109" t="s">
        <v>1046</v>
      </c>
      <c r="N9" s="19" t="s">
        <v>1080</v>
      </c>
      <c r="O9" s="110">
        <v>8.1</v>
      </c>
      <c r="P9" s="13">
        <v>0</v>
      </c>
      <c r="Q9" s="13" t="s">
        <v>1081</v>
      </c>
    </row>
    <row r="10" ht="12" spans="1:17">
      <c r="A10" s="109"/>
      <c r="B10" s="19"/>
      <c r="C10" s="110"/>
      <c r="D10" s="13"/>
      <c r="E10" s="13"/>
      <c r="G10" s="109"/>
      <c r="H10" s="19"/>
      <c r="I10" s="110"/>
      <c r="J10" s="13"/>
      <c r="K10" s="13"/>
      <c r="M10" s="109"/>
      <c r="N10" s="19"/>
      <c r="O10" s="110"/>
      <c r="P10" s="13"/>
      <c r="Q10" s="13"/>
    </row>
    <row r="11" ht="33" customHeight="1" spans="1:17">
      <c r="A11" s="105" t="s">
        <v>1082</v>
      </c>
      <c r="B11" s="105" t="s">
        <v>1083</v>
      </c>
      <c r="C11" s="105" t="s">
        <v>1084</v>
      </c>
      <c r="D11" s="105">
        <v>32</v>
      </c>
      <c r="E11" s="102" t="s">
        <v>1085</v>
      </c>
      <c r="G11" s="13" t="s">
        <v>1082</v>
      </c>
      <c r="H11" s="13" t="s">
        <v>1083</v>
      </c>
      <c r="I11" s="119"/>
      <c r="J11" s="13"/>
      <c r="K11" s="19" t="s">
        <v>1085</v>
      </c>
      <c r="M11" s="13" t="s">
        <v>1082</v>
      </c>
      <c r="N11" s="13" t="s">
        <v>1083</v>
      </c>
      <c r="O11" s="13" t="s">
        <v>1086</v>
      </c>
      <c r="P11" s="13">
        <v>42</v>
      </c>
      <c r="Q11" s="19" t="s">
        <v>1085</v>
      </c>
    </row>
    <row r="12" ht="33" customHeight="1" spans="1:17">
      <c r="A12" s="13" t="s">
        <v>1087</v>
      </c>
      <c r="B12" s="13"/>
      <c r="C12" s="13"/>
      <c r="D12" s="13"/>
      <c r="E12" s="19"/>
      <c r="K12" s="1"/>
      <c r="Q12" s="1"/>
    </row>
    <row r="13" ht="32.25" customHeight="1" spans="1:5">
      <c r="A13" s="114" t="s">
        <v>1036</v>
      </c>
      <c r="B13" s="115"/>
      <c r="C13" s="115"/>
      <c r="D13" s="115"/>
      <c r="E13" s="116"/>
    </row>
    <row r="14" ht="24" customHeight="1" spans="1:5">
      <c r="A14" s="108" t="s">
        <v>1041</v>
      </c>
      <c r="B14" s="108" t="s">
        <v>1042</v>
      </c>
      <c r="C14" s="108" t="s">
        <v>1043</v>
      </c>
      <c r="D14" s="108" t="s">
        <v>1044</v>
      </c>
      <c r="E14" s="108" t="s">
        <v>1045</v>
      </c>
    </row>
    <row r="15" ht="43.5" customHeight="1" spans="1:5">
      <c r="A15" s="13" t="s">
        <v>1036</v>
      </c>
      <c r="B15" s="19" t="s">
        <v>1088</v>
      </c>
      <c r="C15" s="13" t="s">
        <v>1089</v>
      </c>
      <c r="D15" s="13">
        <v>5</v>
      </c>
      <c r="E15" s="13" t="s">
        <v>1038</v>
      </c>
    </row>
    <row r="16" ht="60" spans="1:5">
      <c r="A16" s="13" t="s">
        <v>1036</v>
      </c>
      <c r="B16" s="19" t="s">
        <v>1090</v>
      </c>
      <c r="C16" s="13" t="s">
        <v>1091</v>
      </c>
      <c r="D16" s="13">
        <v>8</v>
      </c>
      <c r="E16" s="13" t="s">
        <v>1038</v>
      </c>
    </row>
    <row r="17" ht="24" spans="1:5">
      <c r="A17" s="13" t="s">
        <v>1036</v>
      </c>
      <c r="B17" s="19" t="s">
        <v>1092</v>
      </c>
      <c r="C17" s="112" t="s">
        <v>1078</v>
      </c>
      <c r="D17" s="13">
        <v>5</v>
      </c>
      <c r="E17" s="13" t="s">
        <v>1038</v>
      </c>
    </row>
    <row r="18" ht="24" spans="1:5">
      <c r="A18" s="13" t="s">
        <v>1036</v>
      </c>
      <c r="B18" s="19" t="s">
        <v>1093</v>
      </c>
      <c r="C18" s="112" t="s">
        <v>1094</v>
      </c>
      <c r="D18" s="13">
        <v>5</v>
      </c>
      <c r="E18" s="13" t="s">
        <v>1038</v>
      </c>
    </row>
    <row r="19" ht="12" spans="1:5">
      <c r="A19" s="109" t="s">
        <v>1036</v>
      </c>
      <c r="B19" s="15" t="s">
        <v>1095</v>
      </c>
      <c r="C19" s="117">
        <v>6.2</v>
      </c>
      <c r="D19" s="13">
        <v>0</v>
      </c>
      <c r="E19" s="13" t="s">
        <v>1038</v>
      </c>
    </row>
    <row r="20" ht="21" customHeight="1" spans="1:5">
      <c r="A20" s="109"/>
      <c r="B20" s="13"/>
      <c r="C20" s="112"/>
      <c r="D20" s="13"/>
      <c r="E20" s="19"/>
    </row>
    <row r="21" ht="33" customHeight="1" spans="1:5">
      <c r="A21" s="105" t="s">
        <v>1082</v>
      </c>
      <c r="B21" s="105" t="s">
        <v>1083</v>
      </c>
      <c r="C21" s="105" t="s">
        <v>1025</v>
      </c>
      <c r="D21" s="105">
        <v>23</v>
      </c>
      <c r="E21" s="102" t="s">
        <v>1038</v>
      </c>
    </row>
    <row r="22" ht="33" customHeight="1" spans="1:17">
      <c r="A22" s="13" t="s">
        <v>1087</v>
      </c>
      <c r="B22" s="13"/>
      <c r="C22" s="13"/>
      <c r="D22" s="13"/>
      <c r="E22" s="19"/>
      <c r="K22" s="1"/>
      <c r="Q22" s="1"/>
    </row>
  </sheetData>
  <mergeCells count="4">
    <mergeCell ref="A1:E1"/>
    <mergeCell ref="G1:K1"/>
    <mergeCell ref="M1:Q1"/>
    <mergeCell ref="A13:E13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产品体验反馈问题汇总7.2"/>
  <dimension ref="A1:D25"/>
  <sheetViews>
    <sheetView workbookViewId="0">
      <selection activeCell="A1" sqref="A1:D1"/>
    </sheetView>
  </sheetViews>
  <sheetFormatPr defaultColWidth="14" defaultRowHeight="18" customHeight="1" outlineLevelCol="3"/>
  <cols>
    <col min="1" max="1" width="7.27777777777778" style="98" customWidth="1"/>
    <col min="2" max="2" width="44.7962962962963" style="1" customWidth="1"/>
    <col min="3" max="3" width="53.2962962962963" style="1" customWidth="1"/>
    <col min="4" max="26" width="13.6759259259259" style="1"/>
  </cols>
  <sheetData>
    <row r="1" ht="27" customHeight="1" spans="1:4">
      <c r="A1" s="99" t="s">
        <v>1096</v>
      </c>
      <c r="B1" s="13"/>
      <c r="C1" s="13"/>
      <c r="D1" s="13"/>
    </row>
    <row r="2" ht="22.5" customHeight="1" spans="1:4">
      <c r="A2" s="100"/>
      <c r="B2" s="19" t="s">
        <v>1097</v>
      </c>
      <c r="C2" s="19" t="s">
        <v>1098</v>
      </c>
      <c r="D2" s="19"/>
    </row>
    <row r="3" ht="79.5" customHeight="1" spans="1:4">
      <c r="A3" s="100">
        <v>1</v>
      </c>
      <c r="B3" s="19" t="s">
        <v>1099</v>
      </c>
      <c r="C3" s="19" t="s">
        <v>1100</v>
      </c>
      <c r="D3" s="19" t="s">
        <v>1101</v>
      </c>
    </row>
    <row r="4" ht="41.25" customHeight="1" spans="1:4">
      <c r="A4" s="100">
        <v>2</v>
      </c>
      <c r="B4" s="19" t="s">
        <v>1102</v>
      </c>
      <c r="C4" s="19" t="s">
        <v>1103</v>
      </c>
      <c r="D4" s="19" t="s">
        <v>1104</v>
      </c>
    </row>
    <row r="5" ht="44.25" customHeight="1" spans="1:4">
      <c r="A5" s="100">
        <v>3</v>
      </c>
      <c r="B5" s="19" t="s">
        <v>1105</v>
      </c>
      <c r="C5" s="19" t="s">
        <v>1106</v>
      </c>
      <c r="D5" s="19" t="s">
        <v>1104</v>
      </c>
    </row>
    <row r="6" ht="72" spans="1:4">
      <c r="A6" s="100">
        <v>4</v>
      </c>
      <c r="B6" t="s">
        <v>1107</v>
      </c>
      <c r="C6" s="19" t="s">
        <v>1108</v>
      </c>
      <c r="D6" s="19" t="s">
        <v>1104</v>
      </c>
    </row>
    <row r="7" ht="24" spans="1:4">
      <c r="A7" s="100">
        <v>5</v>
      </c>
      <c r="B7" s="19" t="s">
        <v>1109</v>
      </c>
      <c r="C7" s="19" t="s">
        <v>1110</v>
      </c>
      <c r="D7" s="19" t="s">
        <v>1104</v>
      </c>
    </row>
    <row r="8" ht="12" spans="1:4">
      <c r="A8" s="100">
        <v>6</v>
      </c>
      <c r="B8" s="19" t="s">
        <v>1111</v>
      </c>
      <c r="C8" s="19" t="s">
        <v>1112</v>
      </c>
      <c r="D8" s="19" t="s">
        <v>1113</v>
      </c>
    </row>
    <row r="9" ht="51.75" customHeight="1" spans="1:4">
      <c r="A9" s="101">
        <v>7</v>
      </c>
      <c r="B9" s="102" t="s">
        <v>1114</v>
      </c>
      <c r="C9" s="19" t="s">
        <v>1115</v>
      </c>
      <c r="D9" s="19" t="s">
        <v>1104</v>
      </c>
    </row>
    <row r="10" ht="40.5" customHeight="1" spans="1:4">
      <c r="A10" s="103"/>
      <c r="B10" s="103"/>
      <c r="C10" s="19" t="s">
        <v>1116</v>
      </c>
      <c r="D10" s="19" t="s">
        <v>1101</v>
      </c>
    </row>
    <row r="11" ht="30" customHeight="1" spans="1:4">
      <c r="A11" s="99" t="s">
        <v>1117</v>
      </c>
      <c r="B11" s="13"/>
      <c r="C11" s="13"/>
      <c r="D11" s="13"/>
    </row>
    <row r="12" ht="24" customHeight="1" spans="1:4">
      <c r="A12" s="100"/>
      <c r="B12" s="19" t="s">
        <v>1097</v>
      </c>
      <c r="C12" s="19" t="s">
        <v>1098</v>
      </c>
      <c r="D12" s="19"/>
    </row>
    <row r="13" ht="24" spans="1:4">
      <c r="A13" s="100">
        <v>1</v>
      </c>
      <c r="B13" s="19" t="s">
        <v>1118</v>
      </c>
      <c r="C13" s="19" t="s">
        <v>1119</v>
      </c>
      <c r="D13" s="19" t="s">
        <v>1104</v>
      </c>
    </row>
    <row r="14" ht="24" spans="1:4">
      <c r="A14" s="100">
        <v>2</v>
      </c>
      <c r="B14" s="19" t="s">
        <v>1120</v>
      </c>
      <c r="C14" s="19" t="s">
        <v>1121</v>
      </c>
      <c r="D14" s="19" t="s">
        <v>1104</v>
      </c>
    </row>
    <row r="15" ht="24" spans="1:4">
      <c r="A15" s="100">
        <v>3</v>
      </c>
      <c r="B15" s="19" t="s">
        <v>1122</v>
      </c>
      <c r="C15" s="19" t="s">
        <v>1123</v>
      </c>
      <c r="D15" s="19" t="s">
        <v>1104</v>
      </c>
    </row>
    <row r="16" ht="24" spans="1:4">
      <c r="A16" s="100">
        <v>4</v>
      </c>
      <c r="B16" s="19" t="s">
        <v>1124</v>
      </c>
      <c r="C16" s="19" t="s">
        <v>1112</v>
      </c>
      <c r="D16" s="19" t="s">
        <v>1104</v>
      </c>
    </row>
    <row r="17" ht="12" spans="1:4">
      <c r="A17" s="100"/>
      <c r="B17" s="19"/>
      <c r="C17" s="19"/>
      <c r="D17" s="19"/>
    </row>
    <row r="18" ht="22.5" customHeight="1" spans="1:4">
      <c r="A18" s="104" t="s">
        <v>1125</v>
      </c>
      <c r="B18" s="105"/>
      <c r="C18" s="105"/>
      <c r="D18" s="105"/>
    </row>
    <row r="19" ht="12" spans="1:4">
      <c r="A19" s="100"/>
      <c r="B19" s="19" t="s">
        <v>1097</v>
      </c>
      <c r="C19" s="19" t="s">
        <v>1098</v>
      </c>
      <c r="D19" s="19"/>
    </row>
    <row r="20" ht="67.5" customHeight="1" spans="1:4">
      <c r="A20" s="100">
        <v>1</v>
      </c>
      <c r="B20" s="19" t="s">
        <v>1126</v>
      </c>
      <c r="C20" s="19" t="s">
        <v>1127</v>
      </c>
      <c r="D20" s="19" t="s">
        <v>1113</v>
      </c>
    </row>
    <row r="21" ht="51.75" customHeight="1" spans="1:4">
      <c r="A21" s="100">
        <v>2</v>
      </c>
      <c r="B21" s="19" t="s">
        <v>1128</v>
      </c>
      <c r="C21" s="19" t="s">
        <v>1129</v>
      </c>
      <c r="D21" s="19" t="s">
        <v>1113</v>
      </c>
    </row>
    <row r="22" ht="12" spans="1:4">
      <c r="A22" s="100"/>
      <c r="B22" s="19"/>
      <c r="C22" s="19"/>
      <c r="D22" s="19"/>
    </row>
    <row r="23" ht="120" customHeight="1" spans="1:4">
      <c r="A23" s="100"/>
      <c r="B23" s="19" t="s">
        <v>1130</v>
      </c>
      <c r="C23" s="19" t="s">
        <v>1131</v>
      </c>
      <c r="D23" s="19"/>
    </row>
    <row r="24" ht="12" spans="1:4">
      <c r="A24" s="100"/>
      <c r="B24" s="19"/>
      <c r="C24" s="19"/>
      <c r="D24" s="19"/>
    </row>
    <row r="25" ht="12" spans="1:4">
      <c r="A25" s="100"/>
      <c r="B25" s="19"/>
      <c r="C25" s="19"/>
      <c r="D25" s="19"/>
    </row>
  </sheetData>
  <mergeCells count="5">
    <mergeCell ref="A1:D1"/>
    <mergeCell ref="A11:D11"/>
    <mergeCell ref="A18:D18"/>
    <mergeCell ref="A9:A10"/>
    <mergeCell ref="B9:B10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产品二期体验问题记录7.17"/>
  <dimension ref="A1:E11"/>
  <sheetViews>
    <sheetView workbookViewId="0">
      <selection activeCell="A1" sqref="A1:E1"/>
    </sheetView>
  </sheetViews>
  <sheetFormatPr defaultColWidth="14" defaultRowHeight="18" customHeight="1" outlineLevelCol="4"/>
  <cols>
    <col min="1" max="1" width="7.27777777777778" style="98" customWidth="1"/>
    <col min="2" max="2" width="44.7962962962963" style="1" customWidth="1"/>
    <col min="3" max="3" width="53.2962962962963" style="1" customWidth="1"/>
    <col min="4" max="27" width="13.6759259259259" style="1"/>
  </cols>
  <sheetData>
    <row r="1" ht="27" customHeight="1" spans="1:5">
      <c r="A1" s="99" t="s">
        <v>1096</v>
      </c>
      <c r="B1" s="13"/>
      <c r="C1" s="13"/>
      <c r="D1" s="99"/>
      <c r="E1" s="13"/>
    </row>
    <row r="2" ht="33" customHeight="1" spans="1:5">
      <c r="A2" s="100"/>
      <c r="B2" s="19" t="s">
        <v>1097</v>
      </c>
      <c r="C2" s="19" t="s">
        <v>1098</v>
      </c>
      <c r="D2" s="19" t="s">
        <v>1132</v>
      </c>
      <c r="E2" s="19" t="s">
        <v>1133</v>
      </c>
    </row>
    <row r="3" ht="48" spans="1:5">
      <c r="A3" s="100">
        <v>1</v>
      </c>
      <c r="B3" s="19" t="s">
        <v>1134</v>
      </c>
      <c r="C3" s="19"/>
      <c r="D3" s="19"/>
      <c r="E3" s="19"/>
    </row>
    <row r="4" ht="32.25" customHeight="1" spans="1:5">
      <c r="A4" s="100">
        <v>2</v>
      </c>
      <c r="B4" s="19"/>
      <c r="C4" s="19"/>
      <c r="D4" s="19"/>
      <c r="E4" s="19"/>
    </row>
    <row r="5" ht="27" customHeight="1" spans="1:5">
      <c r="A5" s="100"/>
      <c r="B5" s="19"/>
      <c r="C5" s="19"/>
      <c r="D5" s="19"/>
      <c r="E5" s="19"/>
    </row>
    <row r="6" ht="29.25" customHeight="1" spans="1:5">
      <c r="A6" s="100"/>
      <c r="B6"/>
      <c r="C6" s="19"/>
      <c r="D6" s="19"/>
      <c r="E6" s="19"/>
    </row>
    <row r="7" ht="24" customHeight="1" spans="1:5">
      <c r="A7" s="100"/>
      <c r="B7" s="19"/>
      <c r="C7" s="19"/>
      <c r="D7" s="19"/>
      <c r="E7" s="19"/>
    </row>
    <row r="8" ht="12" spans="1:5">
      <c r="A8" s="100"/>
      <c r="B8" s="19"/>
      <c r="C8" s="19"/>
      <c r="D8" s="19"/>
      <c r="E8" s="19"/>
    </row>
    <row r="9" ht="120" customHeight="1" spans="1:5">
      <c r="A9" s="100"/>
      <c r="B9" s="19"/>
      <c r="C9" s="19" t="s">
        <v>1131</v>
      </c>
      <c r="D9" s="19"/>
      <c r="E9" s="19"/>
    </row>
    <row r="10" ht="12" spans="1:5">
      <c r="A10" s="100"/>
      <c r="B10" s="19"/>
      <c r="C10" s="19"/>
      <c r="D10" s="19"/>
      <c r="E10" s="19"/>
    </row>
    <row r="11" ht="12" spans="1:5">
      <c r="A11" s="100"/>
      <c r="B11" s="19"/>
      <c r="C11" s="19"/>
      <c r="D11" s="19"/>
      <c r="E11" s="19"/>
    </row>
  </sheetData>
  <mergeCells count="1">
    <mergeCell ref="A1:E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est-潘辉"/>
  <dimension ref="A1:AC5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8" customHeight="1"/>
  <cols>
    <col min="1" max="1" width="10.9259259259259" style="14" customWidth="1"/>
    <col min="2" max="2" width="11.8703703703704" style="14" customWidth="1"/>
    <col min="3" max="3" width="19.2777777777778" style="14" customWidth="1"/>
    <col min="4" max="4" width="12.8148148148148" style="14" customWidth="1"/>
    <col min="5" max="5" width="20.6296296296296" style="15" customWidth="1"/>
    <col min="6" max="6" width="17.6759259259259" style="15" customWidth="1"/>
    <col min="7" max="7" width="38.5740740740741" style="16" customWidth="1"/>
    <col min="8" max="8" width="14.0277777777778" style="17" customWidth="1"/>
    <col min="9" max="9" width="17.6759259259259" style="14" customWidth="1"/>
    <col min="10" max="10" width="8.36111111111111" style="14" customWidth="1"/>
    <col min="11" max="11" width="24.0092592592593" style="15" customWidth="1"/>
    <col min="12" max="12" width="15.7777777777778" style="18" customWidth="1"/>
    <col min="13" max="13" width="14.4351851851852" style="15" customWidth="1"/>
    <col min="14" max="14" width="26.9722222222222" style="15" customWidth="1"/>
    <col min="15" max="15" width="19.1481481481481" style="15" customWidth="1"/>
    <col min="16" max="16" width="42.3518518518519" style="16" customWidth="1"/>
    <col min="17" max="17" width="11.1944444444444" style="15" customWidth="1"/>
    <col min="18" max="18" width="12.8148148148148" style="15" customWidth="1"/>
    <col min="19" max="19" width="18.212962962963" style="15" customWidth="1"/>
    <col min="20" max="22" width="14.9722222222222" style="15" customWidth="1"/>
    <col min="23" max="23" width="13.212962962963" style="15" customWidth="1"/>
    <col min="24" max="26" width="13.6759259259259" style="13" customWidth="1"/>
    <col min="27" max="27" width="27.7962962962963" style="19" customWidth="1"/>
    <col min="28" max="29" width="13.6759259259259" style="13" customWidth="1"/>
  </cols>
  <sheetData>
    <row r="1" s="2" customFormat="1" ht="44.25" customHeight="1" spans="1:29">
      <c r="A1" s="20" t="s">
        <v>372</v>
      </c>
      <c r="B1" s="21" t="s">
        <v>373</v>
      </c>
      <c r="C1" s="22" t="s">
        <v>177</v>
      </c>
      <c r="D1" s="20" t="s">
        <v>0</v>
      </c>
      <c r="E1" s="23" t="s">
        <v>1</v>
      </c>
      <c r="F1" s="23" t="s">
        <v>2</v>
      </c>
      <c r="G1" s="23" t="s">
        <v>176</v>
      </c>
      <c r="H1" s="24" t="s">
        <v>3</v>
      </c>
      <c r="I1" s="21" t="s">
        <v>374</v>
      </c>
      <c r="J1" s="21" t="s">
        <v>375</v>
      </c>
      <c r="K1" s="22" t="s">
        <v>147</v>
      </c>
      <c r="L1" s="69" t="s">
        <v>185</v>
      </c>
      <c r="M1" s="23" t="s">
        <v>186</v>
      </c>
      <c r="N1" s="23" t="s">
        <v>187</v>
      </c>
      <c r="O1" s="23" t="s">
        <v>188</v>
      </c>
      <c r="P1" s="23" t="s">
        <v>189</v>
      </c>
      <c r="Q1" s="23" t="s">
        <v>190</v>
      </c>
      <c r="R1" s="22" t="s">
        <v>191</v>
      </c>
      <c r="S1" s="23" t="s">
        <v>198</v>
      </c>
      <c r="T1" s="22" t="s">
        <v>376</v>
      </c>
      <c r="U1" s="23" t="s">
        <v>378</v>
      </c>
      <c r="V1" s="23" t="s">
        <v>202</v>
      </c>
      <c r="W1" s="23" t="s">
        <v>1135</v>
      </c>
      <c r="X1" s="23" t="s">
        <v>205</v>
      </c>
      <c r="Y1" s="23" t="s">
        <v>206</v>
      </c>
      <c r="Z1" s="23" t="s">
        <v>207</v>
      </c>
      <c r="AA1" s="23" t="s">
        <v>208</v>
      </c>
      <c r="AB1" s="22" t="s">
        <v>209</v>
      </c>
      <c r="AC1" s="22" t="s">
        <v>210</v>
      </c>
    </row>
    <row r="2" ht="48" customHeight="1" spans="1:29">
      <c r="A2" s="25" t="s">
        <v>387</v>
      </c>
      <c r="B2" s="26">
        <v>1</v>
      </c>
      <c r="C2" s="25" t="s">
        <v>388</v>
      </c>
      <c r="D2" s="27" t="s">
        <v>254</v>
      </c>
      <c r="E2" s="28" t="s">
        <v>161</v>
      </c>
      <c r="F2" s="29" t="s">
        <v>389</v>
      </c>
      <c r="G2" s="30" t="s">
        <v>390</v>
      </c>
      <c r="H2" s="31" t="s">
        <v>391</v>
      </c>
      <c r="I2" s="32" t="s">
        <v>392</v>
      </c>
      <c r="J2" s="32" t="s">
        <v>393</v>
      </c>
      <c r="K2" s="25" t="s">
        <v>394</v>
      </c>
      <c r="L2" s="70">
        <v>45842</v>
      </c>
      <c r="M2" s="29" t="s">
        <v>395</v>
      </c>
      <c r="N2" s="16" t="s">
        <v>396</v>
      </c>
      <c r="O2" s="71" t="s">
        <v>397</v>
      </c>
      <c r="P2" s="15" t="s">
        <v>398</v>
      </c>
      <c r="Q2" s="71">
        <v>99</v>
      </c>
      <c r="R2" s="71">
        <v>1000</v>
      </c>
      <c r="S2" s="71" t="s">
        <v>218</v>
      </c>
      <c r="T2" s="25">
        <v>100.0642</v>
      </c>
      <c r="AA2" s="16" t="s">
        <v>214</v>
      </c>
      <c r="AB2" s="71" t="s">
        <v>1136</v>
      </c>
      <c r="AC2" s="71" t="s">
        <v>222</v>
      </c>
    </row>
    <row r="3" ht="51.75" customHeight="1" spans="1:29">
      <c r="A3" s="25" t="s">
        <v>421</v>
      </c>
      <c r="B3" s="26">
        <v>2</v>
      </c>
      <c r="C3" s="25" t="s">
        <v>400</v>
      </c>
      <c r="D3" s="27" t="s">
        <v>257</v>
      </c>
      <c r="E3" s="28" t="s">
        <v>161</v>
      </c>
      <c r="F3" s="29" t="s">
        <v>401</v>
      </c>
      <c r="G3" s="30" t="s">
        <v>390</v>
      </c>
      <c r="H3" s="31" t="s">
        <v>402</v>
      </c>
      <c r="I3" s="32" t="s">
        <v>403</v>
      </c>
      <c r="J3" s="32" t="s">
        <v>404</v>
      </c>
      <c r="K3" s="25" t="s">
        <v>405</v>
      </c>
      <c r="L3" s="70">
        <v>45845</v>
      </c>
      <c r="M3" s="25" t="s">
        <v>395</v>
      </c>
      <c r="N3" s="16" t="s">
        <v>396</v>
      </c>
      <c r="O3" s="71" t="s">
        <v>406</v>
      </c>
      <c r="P3" s="15" t="s">
        <v>407</v>
      </c>
      <c r="Q3" s="71">
        <v>100</v>
      </c>
      <c r="R3" s="71">
        <v>1100</v>
      </c>
      <c r="S3" s="15" t="s">
        <v>218</v>
      </c>
      <c r="T3" s="25">
        <v>101.1052</v>
      </c>
      <c r="U3" s="71"/>
      <c r="V3" s="71">
        <v>7</v>
      </c>
      <c r="W3" s="71">
        <v>1.21</v>
      </c>
      <c r="AA3" s="16" t="s">
        <v>1137</v>
      </c>
      <c r="AB3" s="71" t="s">
        <v>1136</v>
      </c>
      <c r="AC3" s="71" t="s">
        <v>222</v>
      </c>
    </row>
    <row r="4" ht="51.75" customHeight="1" spans="1:29">
      <c r="A4" s="25" t="s">
        <v>387</v>
      </c>
      <c r="B4" s="26">
        <v>3</v>
      </c>
      <c r="C4" s="25" t="s">
        <v>408</v>
      </c>
      <c r="D4" s="27" t="s">
        <v>258</v>
      </c>
      <c r="E4" s="28" t="s">
        <v>161</v>
      </c>
      <c r="F4" s="29" t="s">
        <v>409</v>
      </c>
      <c r="G4" s="30" t="s">
        <v>390</v>
      </c>
      <c r="H4" s="31" t="s">
        <v>402</v>
      </c>
      <c r="I4" s="32" t="s">
        <v>392</v>
      </c>
      <c r="J4" s="32" t="s">
        <v>393</v>
      </c>
      <c r="K4" s="25" t="s">
        <v>394</v>
      </c>
      <c r="L4" s="70">
        <v>45845</v>
      </c>
      <c r="M4" s="29" t="s">
        <v>395</v>
      </c>
      <c r="N4" s="16" t="s">
        <v>396</v>
      </c>
      <c r="O4" s="71" t="s">
        <v>397</v>
      </c>
      <c r="P4" s="15" t="s">
        <v>398</v>
      </c>
      <c r="Q4" s="71">
        <v>101</v>
      </c>
      <c r="R4" s="71">
        <v>1000</v>
      </c>
      <c r="S4" s="15" t="s">
        <v>218</v>
      </c>
      <c r="T4" s="25">
        <v>102.1052</v>
      </c>
      <c r="U4" s="71"/>
      <c r="V4" s="71"/>
      <c r="W4" s="71"/>
      <c r="X4" s="71"/>
      <c r="Y4" s="71"/>
      <c r="Z4" s="71"/>
      <c r="AA4" s="16" t="s">
        <v>214</v>
      </c>
      <c r="AB4" s="71" t="s">
        <v>1136</v>
      </c>
      <c r="AC4" s="71" t="s">
        <v>222</v>
      </c>
    </row>
    <row r="5" ht="51.75" customHeight="1" spans="1:29">
      <c r="A5" s="25" t="s">
        <v>387</v>
      </c>
      <c r="B5" s="26">
        <v>4</v>
      </c>
      <c r="C5" s="25" t="s">
        <v>410</v>
      </c>
      <c r="D5" s="27" t="s">
        <v>259</v>
      </c>
      <c r="E5" s="28" t="s">
        <v>161</v>
      </c>
      <c r="F5" s="29" t="s">
        <v>401</v>
      </c>
      <c r="G5" s="30" t="s">
        <v>390</v>
      </c>
      <c r="H5" s="31" t="s">
        <v>411</v>
      </c>
      <c r="I5" s="32" t="s">
        <v>412</v>
      </c>
      <c r="J5" s="32" t="s">
        <v>393</v>
      </c>
      <c r="K5" s="25" t="s">
        <v>405</v>
      </c>
      <c r="L5" s="70">
        <v>45845</v>
      </c>
      <c r="M5" s="29" t="s">
        <v>413</v>
      </c>
      <c r="N5" s="16" t="s">
        <v>414</v>
      </c>
      <c r="O5" s="71" t="s">
        <v>397</v>
      </c>
      <c r="P5" s="15" t="s">
        <v>398</v>
      </c>
      <c r="Q5" s="71">
        <v>99</v>
      </c>
      <c r="R5" s="71">
        <v>1400</v>
      </c>
      <c r="S5" s="71" t="s">
        <v>218</v>
      </c>
      <c r="T5" s="25">
        <v>100.105</v>
      </c>
      <c r="AA5" s="16" t="s">
        <v>1137</v>
      </c>
      <c r="AB5" s="71" t="s">
        <v>1136</v>
      </c>
      <c r="AC5" s="71" t="s">
        <v>222</v>
      </c>
    </row>
    <row r="6" s="3" customFormat="1" ht="51.75" customHeight="1" spans="1:29">
      <c r="A6" s="25" t="s">
        <v>387</v>
      </c>
      <c r="B6" s="26">
        <v>5</v>
      </c>
      <c r="C6" s="25" t="s">
        <v>415</v>
      </c>
      <c r="D6" s="27" t="s">
        <v>260</v>
      </c>
      <c r="E6" s="28" t="s">
        <v>161</v>
      </c>
      <c r="F6" s="29" t="s">
        <v>401</v>
      </c>
      <c r="G6" s="30" t="s">
        <v>390</v>
      </c>
      <c r="H6" s="31" t="s">
        <v>402</v>
      </c>
      <c r="I6" s="32" t="s">
        <v>416</v>
      </c>
      <c r="J6" s="32" t="s">
        <v>393</v>
      </c>
      <c r="K6" s="25" t="s">
        <v>394</v>
      </c>
      <c r="L6" s="72">
        <v>45845</v>
      </c>
      <c r="M6" s="73" t="s">
        <v>395</v>
      </c>
      <c r="N6" s="74" t="s">
        <v>396</v>
      </c>
      <c r="O6" s="75" t="s">
        <v>397</v>
      </c>
      <c r="P6" s="76" t="s">
        <v>398</v>
      </c>
      <c r="Q6" s="75">
        <v>100</v>
      </c>
      <c r="R6" s="75">
        <v>2000</v>
      </c>
      <c r="S6" s="76"/>
      <c r="T6" s="91">
        <v>101.1052</v>
      </c>
      <c r="U6" s="76"/>
      <c r="V6" s="76"/>
      <c r="W6" s="76"/>
      <c r="X6" s="92"/>
      <c r="Y6" s="92"/>
      <c r="Z6" s="92"/>
      <c r="AA6" s="74" t="s">
        <v>214</v>
      </c>
      <c r="AB6" s="75" t="s">
        <v>1136</v>
      </c>
      <c r="AC6" s="75" t="s">
        <v>222</v>
      </c>
    </row>
    <row r="7" ht="51.75" customHeight="1" spans="1:29">
      <c r="A7" s="25" t="s">
        <v>387</v>
      </c>
      <c r="B7" s="26">
        <v>6</v>
      </c>
      <c r="C7" s="25" t="s">
        <v>417</v>
      </c>
      <c r="D7" s="32" t="s">
        <v>261</v>
      </c>
      <c r="E7" s="28" t="s">
        <v>161</v>
      </c>
      <c r="F7" s="29" t="s">
        <v>418</v>
      </c>
      <c r="G7" s="30" t="s">
        <v>390</v>
      </c>
      <c r="H7" s="31" t="s">
        <v>419</v>
      </c>
      <c r="I7" s="32" t="s">
        <v>392</v>
      </c>
      <c r="J7" s="32" t="s">
        <v>393</v>
      </c>
      <c r="K7" s="25" t="s">
        <v>394</v>
      </c>
      <c r="L7" s="18">
        <v>45846</v>
      </c>
      <c r="M7" s="29" t="s">
        <v>395</v>
      </c>
      <c r="N7" s="16" t="s">
        <v>396</v>
      </c>
      <c r="O7" s="15" t="s">
        <v>397</v>
      </c>
      <c r="P7" s="15" t="s">
        <v>398</v>
      </c>
      <c r="Q7" s="15">
        <v>99</v>
      </c>
      <c r="R7" s="15">
        <v>1400</v>
      </c>
      <c r="S7" s="15" t="s">
        <v>218</v>
      </c>
      <c r="T7" s="25">
        <v>100.1188</v>
      </c>
      <c r="AA7" s="19" t="s">
        <v>214</v>
      </c>
      <c r="AB7" s="13" t="s">
        <v>1136</v>
      </c>
      <c r="AC7" s="13" t="s">
        <v>222</v>
      </c>
    </row>
    <row r="8" s="4" customFormat="1" ht="51.75" customHeight="1" spans="1:29">
      <c r="A8" s="25" t="s">
        <v>387</v>
      </c>
      <c r="B8" s="26">
        <v>7</v>
      </c>
      <c r="C8" s="25" t="s">
        <v>420</v>
      </c>
      <c r="D8" s="32" t="s">
        <v>262</v>
      </c>
      <c r="E8" s="28" t="s">
        <v>161</v>
      </c>
      <c r="F8" s="29" t="s">
        <v>418</v>
      </c>
      <c r="G8" s="30" t="s">
        <v>390</v>
      </c>
      <c r="H8" s="31" t="s">
        <v>419</v>
      </c>
      <c r="I8" s="32" t="s">
        <v>416</v>
      </c>
      <c r="J8" s="32" t="s">
        <v>393</v>
      </c>
      <c r="K8" s="25" t="s">
        <v>394</v>
      </c>
      <c r="L8" s="77">
        <v>45846</v>
      </c>
      <c r="M8" s="29" t="s">
        <v>395</v>
      </c>
      <c r="N8" s="78" t="s">
        <v>396</v>
      </c>
      <c r="O8" s="79" t="s">
        <v>397</v>
      </c>
      <c r="P8" s="79" t="s">
        <v>398</v>
      </c>
      <c r="Q8" s="79">
        <v>100</v>
      </c>
      <c r="R8" s="79">
        <v>1500</v>
      </c>
      <c r="S8" s="71"/>
      <c r="T8" s="25">
        <v>101.1188</v>
      </c>
      <c r="U8" s="79"/>
      <c r="V8" s="79"/>
      <c r="W8" s="79"/>
      <c r="X8" s="79"/>
      <c r="Y8" s="79"/>
      <c r="Z8" s="79"/>
      <c r="AA8" s="78" t="s">
        <v>214</v>
      </c>
      <c r="AB8" s="79" t="s">
        <v>1136</v>
      </c>
      <c r="AC8" s="79" t="s">
        <v>222</v>
      </c>
    </row>
    <row r="9" ht="51.75" customHeight="1" spans="1:29">
      <c r="A9" s="25" t="s">
        <v>421</v>
      </c>
      <c r="B9" s="26">
        <v>8</v>
      </c>
      <c r="C9" s="25" t="s">
        <v>422</v>
      </c>
      <c r="D9" s="32" t="s">
        <v>263</v>
      </c>
      <c r="E9" s="28" t="s">
        <v>161</v>
      </c>
      <c r="F9" s="29" t="s">
        <v>418</v>
      </c>
      <c r="G9" s="30" t="s">
        <v>390</v>
      </c>
      <c r="H9" s="31" t="s">
        <v>419</v>
      </c>
      <c r="I9" s="32" t="s">
        <v>403</v>
      </c>
      <c r="J9" s="32" t="s">
        <v>404</v>
      </c>
      <c r="K9" s="25" t="s">
        <v>405</v>
      </c>
      <c r="L9" s="70">
        <v>45846</v>
      </c>
      <c r="M9" s="25" t="s">
        <v>395</v>
      </c>
      <c r="N9" s="16" t="s">
        <v>396</v>
      </c>
      <c r="O9" s="71" t="s">
        <v>423</v>
      </c>
      <c r="P9" s="15" t="s">
        <v>424</v>
      </c>
      <c r="Q9" s="71">
        <v>101</v>
      </c>
      <c r="R9" s="71">
        <v>1200</v>
      </c>
      <c r="S9" s="71" t="s">
        <v>218</v>
      </c>
      <c r="T9" s="25">
        <v>102.1188</v>
      </c>
      <c r="U9" s="71"/>
      <c r="V9" s="71">
        <v>7</v>
      </c>
      <c r="W9" s="71">
        <v>1.0512</v>
      </c>
      <c r="AA9" s="16" t="s">
        <v>1137</v>
      </c>
      <c r="AB9" s="71" t="s">
        <v>1136</v>
      </c>
      <c r="AC9" s="71" t="s">
        <v>222</v>
      </c>
    </row>
    <row r="10" s="5" customFormat="1" ht="51.75" customHeight="1" spans="1:29">
      <c r="A10" s="33" t="s">
        <v>387</v>
      </c>
      <c r="B10" s="34">
        <v>9</v>
      </c>
      <c r="C10" s="33" t="s">
        <v>425</v>
      </c>
      <c r="D10" s="27" t="s">
        <v>264</v>
      </c>
      <c r="E10" s="35" t="s">
        <v>161</v>
      </c>
      <c r="F10" s="36" t="s">
        <v>426</v>
      </c>
      <c r="G10" s="37" t="s">
        <v>390</v>
      </c>
      <c r="H10" s="38" t="s">
        <v>427</v>
      </c>
      <c r="I10" s="27" t="s">
        <v>412</v>
      </c>
      <c r="J10" s="27" t="s">
        <v>393</v>
      </c>
      <c r="K10" s="33" t="s">
        <v>428</v>
      </c>
      <c r="L10" s="80">
        <v>45846</v>
      </c>
      <c r="M10" s="36" t="s">
        <v>413</v>
      </c>
      <c r="N10" s="81" t="s">
        <v>414</v>
      </c>
      <c r="O10" s="82" t="s">
        <v>397</v>
      </c>
      <c r="P10" s="82" t="s">
        <v>398</v>
      </c>
      <c r="Q10" s="82">
        <v>99</v>
      </c>
      <c r="R10" s="82">
        <v>1000</v>
      </c>
      <c r="S10" s="93" t="s">
        <v>218</v>
      </c>
      <c r="T10" s="33">
        <v>100.119</v>
      </c>
      <c r="U10" s="82"/>
      <c r="V10" s="82"/>
      <c r="W10" s="82"/>
      <c r="X10" s="94"/>
      <c r="Y10" s="94"/>
      <c r="Z10" s="94"/>
      <c r="AA10" s="96" t="s">
        <v>236</v>
      </c>
      <c r="AB10" s="94" t="s">
        <v>1136</v>
      </c>
      <c r="AC10" s="94" t="s">
        <v>222</v>
      </c>
    </row>
    <row r="11" ht="51.75" customHeight="1" spans="1:29">
      <c r="A11" s="25" t="s">
        <v>387</v>
      </c>
      <c r="B11" s="26">
        <v>10</v>
      </c>
      <c r="C11" s="25" t="s">
        <v>429</v>
      </c>
      <c r="D11" s="32" t="s">
        <v>265</v>
      </c>
      <c r="E11" s="28" t="s">
        <v>161</v>
      </c>
      <c r="F11" s="29" t="s">
        <v>418</v>
      </c>
      <c r="G11" s="30" t="s">
        <v>390</v>
      </c>
      <c r="H11" s="31" t="s">
        <v>427</v>
      </c>
      <c r="I11" s="32" t="s">
        <v>412</v>
      </c>
      <c r="J11" s="32" t="s">
        <v>393</v>
      </c>
      <c r="K11" s="25" t="s">
        <v>405</v>
      </c>
      <c r="L11" s="70">
        <v>45846</v>
      </c>
      <c r="M11" s="29" t="s">
        <v>413</v>
      </c>
      <c r="N11" s="16" t="s">
        <v>414</v>
      </c>
      <c r="O11" s="71" t="s">
        <v>397</v>
      </c>
      <c r="P11" s="15" t="s">
        <v>398</v>
      </c>
      <c r="Q11" s="71">
        <v>98</v>
      </c>
      <c r="R11" s="71">
        <v>1900</v>
      </c>
      <c r="S11" s="71" t="s">
        <v>218</v>
      </c>
      <c r="T11" s="25">
        <v>99.119</v>
      </c>
      <c r="AA11" s="16" t="s">
        <v>1137</v>
      </c>
      <c r="AB11" s="71" t="s">
        <v>1136</v>
      </c>
      <c r="AC11" s="71" t="s">
        <v>222</v>
      </c>
    </row>
    <row r="12" s="4" customFormat="1" ht="51.75" customHeight="1" spans="1:29">
      <c r="A12" s="25" t="s">
        <v>387</v>
      </c>
      <c r="B12" s="26">
        <v>11</v>
      </c>
      <c r="C12" s="25" t="s">
        <v>430</v>
      </c>
      <c r="D12" s="32" t="s">
        <v>266</v>
      </c>
      <c r="E12" s="28" t="s">
        <v>161</v>
      </c>
      <c r="F12" s="29" t="s">
        <v>431</v>
      </c>
      <c r="G12" s="30" t="s">
        <v>390</v>
      </c>
      <c r="H12" s="31" t="s">
        <v>419</v>
      </c>
      <c r="I12" s="32" t="s">
        <v>392</v>
      </c>
      <c r="J12" s="32" t="s">
        <v>432</v>
      </c>
      <c r="K12" s="25" t="s">
        <v>394</v>
      </c>
      <c r="L12" s="77">
        <v>45846</v>
      </c>
      <c r="M12" s="29" t="s">
        <v>395</v>
      </c>
      <c r="N12" s="78" t="s">
        <v>396</v>
      </c>
      <c r="O12" s="79" t="s">
        <v>397</v>
      </c>
      <c r="P12" s="79" t="s">
        <v>398</v>
      </c>
      <c r="Q12" s="79">
        <v>102</v>
      </c>
      <c r="R12" s="79">
        <v>1200</v>
      </c>
      <c r="S12" s="71" t="s">
        <v>218</v>
      </c>
      <c r="T12" s="25">
        <v>103.1188</v>
      </c>
      <c r="U12" s="79"/>
      <c r="V12" s="79"/>
      <c r="W12" s="79"/>
      <c r="X12" s="79"/>
      <c r="Y12" s="79"/>
      <c r="Z12" s="79"/>
      <c r="AA12" s="78" t="s">
        <v>214</v>
      </c>
      <c r="AB12" s="79" t="s">
        <v>1136</v>
      </c>
      <c r="AC12" s="79" t="s">
        <v>222</v>
      </c>
    </row>
    <row r="13" s="4" customFormat="1" ht="51.75" customHeight="1" spans="1:29">
      <c r="A13" s="25" t="s">
        <v>387</v>
      </c>
      <c r="B13" s="26">
        <v>12</v>
      </c>
      <c r="C13" s="25" t="s">
        <v>433</v>
      </c>
      <c r="D13" s="32" t="s">
        <v>268</v>
      </c>
      <c r="E13" s="28" t="s">
        <v>161</v>
      </c>
      <c r="F13" s="29" t="s">
        <v>431</v>
      </c>
      <c r="G13" s="30" t="s">
        <v>390</v>
      </c>
      <c r="H13" s="31" t="s">
        <v>419</v>
      </c>
      <c r="I13" s="32" t="s">
        <v>416</v>
      </c>
      <c r="J13" s="32" t="s">
        <v>432</v>
      </c>
      <c r="K13" s="25" t="s">
        <v>394</v>
      </c>
      <c r="L13" s="77">
        <v>45846</v>
      </c>
      <c r="M13" s="29" t="s">
        <v>395</v>
      </c>
      <c r="N13" s="78" t="s">
        <v>396</v>
      </c>
      <c r="O13" s="79" t="s">
        <v>397</v>
      </c>
      <c r="P13" s="79" t="s">
        <v>398</v>
      </c>
      <c r="Q13" s="79">
        <v>104</v>
      </c>
      <c r="R13" s="79">
        <v>1800</v>
      </c>
      <c r="S13" s="71"/>
      <c r="T13" s="25">
        <v>105.1188</v>
      </c>
      <c r="U13" s="79"/>
      <c r="V13" s="79"/>
      <c r="W13" s="79"/>
      <c r="X13" s="79"/>
      <c r="Y13" s="79"/>
      <c r="Z13" s="79"/>
      <c r="AA13" s="78" t="s">
        <v>214</v>
      </c>
      <c r="AB13" s="79" t="s">
        <v>1136</v>
      </c>
      <c r="AC13" s="79" t="s">
        <v>222</v>
      </c>
    </row>
    <row r="14" ht="51.75" customHeight="1" spans="1:29">
      <c r="A14" s="25" t="s">
        <v>387</v>
      </c>
      <c r="B14" s="26">
        <v>13</v>
      </c>
      <c r="C14" s="25" t="s">
        <v>434</v>
      </c>
      <c r="D14" s="32" t="s">
        <v>269</v>
      </c>
      <c r="E14" s="28" t="s">
        <v>161</v>
      </c>
      <c r="F14" s="29" t="s">
        <v>431</v>
      </c>
      <c r="G14" s="30" t="s">
        <v>390</v>
      </c>
      <c r="H14" s="31" t="s">
        <v>427</v>
      </c>
      <c r="I14" s="32" t="s">
        <v>412</v>
      </c>
      <c r="J14" s="32" t="s">
        <v>432</v>
      </c>
      <c r="K14" s="25" t="s">
        <v>405</v>
      </c>
      <c r="L14" s="70">
        <v>45846</v>
      </c>
      <c r="M14" s="29" t="s">
        <v>413</v>
      </c>
      <c r="N14" s="16" t="s">
        <v>414</v>
      </c>
      <c r="O14" s="71" t="s">
        <v>397</v>
      </c>
      <c r="P14" s="15" t="s">
        <v>398</v>
      </c>
      <c r="Q14" s="71">
        <v>101</v>
      </c>
      <c r="R14" s="71">
        <v>1500</v>
      </c>
      <c r="S14" s="71" t="s">
        <v>218</v>
      </c>
      <c r="T14" s="25">
        <v>102.119</v>
      </c>
      <c r="AA14" s="16" t="s">
        <v>1137</v>
      </c>
      <c r="AB14" s="71" t="s">
        <v>1136</v>
      </c>
      <c r="AC14" s="71" t="s">
        <v>222</v>
      </c>
    </row>
    <row r="15" s="4" customFormat="1" ht="51.75" customHeight="1" spans="1:29">
      <c r="A15" s="25" t="s">
        <v>387</v>
      </c>
      <c r="B15" s="26">
        <v>14</v>
      </c>
      <c r="C15" s="25" t="s">
        <v>435</v>
      </c>
      <c r="D15" s="32" t="s">
        <v>270</v>
      </c>
      <c r="E15" s="28" t="s">
        <v>161</v>
      </c>
      <c r="F15" s="29" t="s">
        <v>436</v>
      </c>
      <c r="G15" s="30" t="s">
        <v>390</v>
      </c>
      <c r="H15" s="31" t="s">
        <v>419</v>
      </c>
      <c r="I15" s="32" t="s">
        <v>392</v>
      </c>
      <c r="J15" s="32" t="s">
        <v>393</v>
      </c>
      <c r="K15" s="25" t="s">
        <v>394</v>
      </c>
      <c r="L15" s="77">
        <v>45846</v>
      </c>
      <c r="M15" s="29" t="s">
        <v>395</v>
      </c>
      <c r="N15" s="78" t="s">
        <v>396</v>
      </c>
      <c r="O15" s="79" t="s">
        <v>397</v>
      </c>
      <c r="P15" s="79" t="s">
        <v>398</v>
      </c>
      <c r="Q15" s="79">
        <v>98</v>
      </c>
      <c r="R15" s="79">
        <v>1600</v>
      </c>
      <c r="S15" s="71" t="s">
        <v>218</v>
      </c>
      <c r="T15" s="25">
        <v>99.1188</v>
      </c>
      <c r="U15" s="79"/>
      <c r="V15" s="79"/>
      <c r="W15" s="79"/>
      <c r="X15" s="79"/>
      <c r="Y15" s="79"/>
      <c r="Z15" s="79"/>
      <c r="AA15" s="78" t="s">
        <v>214</v>
      </c>
      <c r="AB15" s="79" t="s">
        <v>1136</v>
      </c>
      <c r="AC15" s="79" t="s">
        <v>222</v>
      </c>
    </row>
    <row r="16" s="4" customFormat="1" ht="51.75" customHeight="1" spans="1:29">
      <c r="A16" s="25" t="s">
        <v>387</v>
      </c>
      <c r="B16" s="26">
        <v>15</v>
      </c>
      <c r="C16" s="25" t="s">
        <v>437</v>
      </c>
      <c r="D16" s="32" t="s">
        <v>271</v>
      </c>
      <c r="E16" s="28" t="s">
        <v>161</v>
      </c>
      <c r="F16" s="29" t="s">
        <v>436</v>
      </c>
      <c r="G16" s="30" t="s">
        <v>390</v>
      </c>
      <c r="H16" s="31" t="s">
        <v>419</v>
      </c>
      <c r="I16" s="32" t="s">
        <v>416</v>
      </c>
      <c r="J16" s="32" t="s">
        <v>393</v>
      </c>
      <c r="K16" s="25" t="s">
        <v>394</v>
      </c>
      <c r="L16" s="77">
        <v>45846</v>
      </c>
      <c r="M16" s="29" t="s">
        <v>395</v>
      </c>
      <c r="N16" s="78" t="s">
        <v>396</v>
      </c>
      <c r="O16" s="79" t="s">
        <v>397</v>
      </c>
      <c r="P16" s="79" t="s">
        <v>398</v>
      </c>
      <c r="Q16" s="79">
        <v>101</v>
      </c>
      <c r="R16" s="79">
        <v>1700</v>
      </c>
      <c r="S16" s="71"/>
      <c r="T16" s="25">
        <v>102.1188</v>
      </c>
      <c r="U16" s="79"/>
      <c r="V16" s="79"/>
      <c r="W16" s="79"/>
      <c r="X16" s="79"/>
      <c r="Y16" s="79"/>
      <c r="Z16" s="79"/>
      <c r="AA16" s="78" t="s">
        <v>214</v>
      </c>
      <c r="AB16" s="79" t="s">
        <v>1136</v>
      </c>
      <c r="AC16" s="79" t="s">
        <v>222</v>
      </c>
    </row>
    <row r="17" ht="51.75" customHeight="1" spans="1:29">
      <c r="A17" s="25" t="s">
        <v>421</v>
      </c>
      <c r="B17" s="26">
        <v>16</v>
      </c>
      <c r="C17" s="25" t="s">
        <v>438</v>
      </c>
      <c r="D17" s="32" t="s">
        <v>272</v>
      </c>
      <c r="E17" s="28" t="s">
        <v>161</v>
      </c>
      <c r="F17" s="29" t="s">
        <v>436</v>
      </c>
      <c r="G17" s="30" t="s">
        <v>390</v>
      </c>
      <c r="H17" s="31" t="s">
        <v>419</v>
      </c>
      <c r="I17" s="32" t="s">
        <v>403</v>
      </c>
      <c r="J17" s="32" t="s">
        <v>404</v>
      </c>
      <c r="K17" s="25" t="s">
        <v>405</v>
      </c>
      <c r="L17" s="70">
        <v>45846</v>
      </c>
      <c r="M17" s="29" t="s">
        <v>395</v>
      </c>
      <c r="N17" s="16" t="s">
        <v>396</v>
      </c>
      <c r="O17" s="71" t="s">
        <v>439</v>
      </c>
      <c r="P17" s="15" t="s">
        <v>398</v>
      </c>
      <c r="Q17" s="71">
        <v>99.6255</v>
      </c>
      <c r="R17" s="71">
        <v>1300</v>
      </c>
      <c r="S17" s="71" t="s">
        <v>218</v>
      </c>
      <c r="T17" s="25">
        <v>100.7443</v>
      </c>
      <c r="U17" s="71"/>
      <c r="V17" s="71">
        <v>8</v>
      </c>
      <c r="W17" s="71">
        <v>0.9566</v>
      </c>
      <c r="AA17" s="16" t="s">
        <v>1137</v>
      </c>
      <c r="AB17" s="71" t="s">
        <v>1136</v>
      </c>
      <c r="AC17" s="71" t="s">
        <v>222</v>
      </c>
    </row>
    <row r="18" s="4" customFormat="1" ht="51.75" customHeight="1" spans="1:29">
      <c r="A18" s="25" t="s">
        <v>387</v>
      </c>
      <c r="B18" s="26">
        <v>17</v>
      </c>
      <c r="C18" s="25" t="s">
        <v>440</v>
      </c>
      <c r="D18" s="32" t="s">
        <v>274</v>
      </c>
      <c r="E18" s="28" t="s">
        <v>161</v>
      </c>
      <c r="F18" s="29" t="s">
        <v>436</v>
      </c>
      <c r="G18" s="30" t="s">
        <v>390</v>
      </c>
      <c r="H18" s="31" t="s">
        <v>427</v>
      </c>
      <c r="I18" s="32" t="s">
        <v>412</v>
      </c>
      <c r="J18" s="32" t="s">
        <v>393</v>
      </c>
      <c r="K18" s="25" t="s">
        <v>405</v>
      </c>
      <c r="L18" s="77">
        <v>45846</v>
      </c>
      <c r="M18" s="29" t="s">
        <v>413</v>
      </c>
      <c r="N18" s="78" t="s">
        <v>414</v>
      </c>
      <c r="O18" s="79" t="s">
        <v>397</v>
      </c>
      <c r="P18" s="79" t="s">
        <v>398</v>
      </c>
      <c r="Q18" s="25">
        <v>96</v>
      </c>
      <c r="R18" s="25">
        <v>6300</v>
      </c>
      <c r="S18" s="25" t="s">
        <v>218</v>
      </c>
      <c r="T18" s="25">
        <v>97.119</v>
      </c>
      <c r="U18" s="25"/>
      <c r="V18" s="25"/>
      <c r="W18" s="25"/>
      <c r="X18" s="25"/>
      <c r="Y18" s="25"/>
      <c r="Z18" s="25"/>
      <c r="AA18" s="29" t="s">
        <v>1137</v>
      </c>
      <c r="AB18" s="25" t="s">
        <v>1136</v>
      </c>
      <c r="AC18" s="25" t="s">
        <v>222</v>
      </c>
    </row>
    <row r="19" s="6" customFormat="1" ht="12" spans="1:29">
      <c r="A19" s="39"/>
      <c r="B19" s="40"/>
      <c r="C19" s="39"/>
      <c r="D19" s="41"/>
      <c r="E19" s="41"/>
      <c r="F19" s="42"/>
      <c r="G19" s="43"/>
      <c r="H19" s="44"/>
      <c r="I19" s="41"/>
      <c r="J19" s="41"/>
      <c r="K19" s="39"/>
      <c r="L19" s="83"/>
      <c r="M19" s="42"/>
      <c r="N19" s="4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2"/>
      <c r="AB19" s="39"/>
      <c r="AC19" s="39"/>
    </row>
    <row r="20" s="5" customFormat="1" ht="24" spans="1:29">
      <c r="A20" s="25" t="s">
        <v>387</v>
      </c>
      <c r="B20" s="26">
        <v>1</v>
      </c>
      <c r="C20" s="25" t="s">
        <v>441</v>
      </c>
      <c r="D20" s="32" t="s">
        <v>276</v>
      </c>
      <c r="E20" s="25" t="s">
        <v>163</v>
      </c>
      <c r="F20" s="29" t="s">
        <v>389</v>
      </c>
      <c r="G20" s="30" t="s">
        <v>442</v>
      </c>
      <c r="H20" s="31" t="s">
        <v>443</v>
      </c>
      <c r="I20" s="32" t="s">
        <v>392</v>
      </c>
      <c r="J20" s="32" t="s">
        <v>393</v>
      </c>
      <c r="K20" s="25" t="s">
        <v>444</v>
      </c>
      <c r="L20" s="84">
        <v>45842</v>
      </c>
      <c r="M20" s="25" t="s">
        <v>445</v>
      </c>
      <c r="N20" s="29" t="s">
        <v>446</v>
      </c>
      <c r="O20" s="25" t="s">
        <v>397</v>
      </c>
      <c r="P20" s="29" t="s">
        <v>398</v>
      </c>
      <c r="Q20" s="25">
        <v>99</v>
      </c>
      <c r="R20" s="25">
        <v>5000</v>
      </c>
      <c r="S20" s="25" t="s">
        <v>218</v>
      </c>
      <c r="T20" s="25">
        <v>104.0753</v>
      </c>
      <c r="U20" s="25"/>
      <c r="V20" s="25"/>
      <c r="W20" s="25"/>
      <c r="X20" s="25"/>
      <c r="Y20" s="25"/>
      <c r="Z20" s="25"/>
      <c r="AA20" s="29" t="s">
        <v>214</v>
      </c>
      <c r="AB20" s="25" t="s">
        <v>1136</v>
      </c>
      <c r="AC20" s="25" t="s">
        <v>222</v>
      </c>
    </row>
    <row r="21" s="5" customFormat="1" ht="24" spans="1:29">
      <c r="A21" s="25" t="s">
        <v>387</v>
      </c>
      <c r="B21" s="26">
        <v>2</v>
      </c>
      <c r="C21" s="25" t="s">
        <v>447</v>
      </c>
      <c r="D21" s="32" t="s">
        <v>278</v>
      </c>
      <c r="E21" s="25" t="s">
        <v>163</v>
      </c>
      <c r="F21" s="29" t="s">
        <v>448</v>
      </c>
      <c r="G21" s="30" t="s">
        <v>442</v>
      </c>
      <c r="H21" s="32">
        <v>20250704</v>
      </c>
      <c r="I21" s="32" t="s">
        <v>392</v>
      </c>
      <c r="J21" s="32" t="s">
        <v>432</v>
      </c>
      <c r="K21" s="25" t="s">
        <v>444</v>
      </c>
      <c r="L21" s="84">
        <v>45842</v>
      </c>
      <c r="M21" s="29" t="s">
        <v>445</v>
      </c>
      <c r="N21" s="29" t="s">
        <v>446</v>
      </c>
      <c r="O21" s="25" t="s">
        <v>397</v>
      </c>
      <c r="P21" s="29" t="s">
        <v>398</v>
      </c>
      <c r="Q21" s="25">
        <v>101</v>
      </c>
      <c r="R21" s="25">
        <v>1000</v>
      </c>
      <c r="S21" s="25" t="s">
        <v>218</v>
      </c>
      <c r="T21" s="25">
        <v>106.0753</v>
      </c>
      <c r="U21" s="25"/>
      <c r="V21" s="25"/>
      <c r="W21" s="25"/>
      <c r="X21" s="25"/>
      <c r="Y21" s="25"/>
      <c r="Z21" s="25"/>
      <c r="AA21" s="29" t="s">
        <v>214</v>
      </c>
      <c r="AB21" s="25" t="s">
        <v>1136</v>
      </c>
      <c r="AC21" s="25" t="s">
        <v>222</v>
      </c>
    </row>
    <row r="22" s="5" customFormat="1" ht="24" spans="1:29">
      <c r="A22" s="25" t="s">
        <v>387</v>
      </c>
      <c r="B22" s="26">
        <v>3</v>
      </c>
      <c r="C22" s="25" t="s">
        <v>449</v>
      </c>
      <c r="D22" s="32" t="s">
        <v>279</v>
      </c>
      <c r="E22" s="25" t="s">
        <v>163</v>
      </c>
      <c r="F22" s="29" t="s">
        <v>401</v>
      </c>
      <c r="G22" s="30" t="s">
        <v>442</v>
      </c>
      <c r="H22" s="45" t="s">
        <v>450</v>
      </c>
      <c r="I22" s="32" t="s">
        <v>412</v>
      </c>
      <c r="J22" s="32" t="s">
        <v>393</v>
      </c>
      <c r="K22" s="25" t="s">
        <v>444</v>
      </c>
      <c r="L22" s="84">
        <v>45845</v>
      </c>
      <c r="M22" s="25" t="s">
        <v>451</v>
      </c>
      <c r="N22" s="29" t="s">
        <v>452</v>
      </c>
      <c r="O22" s="25" t="s">
        <v>397</v>
      </c>
      <c r="P22" s="29" t="s">
        <v>398</v>
      </c>
      <c r="Q22" s="25">
        <v>98</v>
      </c>
      <c r="R22" s="25">
        <v>1000</v>
      </c>
      <c r="S22" s="25" t="s">
        <v>218</v>
      </c>
      <c r="T22" s="25">
        <v>103.129</v>
      </c>
      <c r="U22" s="25"/>
      <c r="V22" s="25"/>
      <c r="W22" s="25"/>
      <c r="X22" s="25"/>
      <c r="Y22" s="25"/>
      <c r="Z22" s="25"/>
      <c r="AA22" s="29" t="s">
        <v>214</v>
      </c>
      <c r="AB22" s="25" t="s">
        <v>1136</v>
      </c>
      <c r="AC22" s="25" t="s">
        <v>222</v>
      </c>
    </row>
    <row r="23" s="5" customFormat="1" ht="24" spans="1:29">
      <c r="A23" s="25" t="s">
        <v>387</v>
      </c>
      <c r="B23" s="26">
        <v>4</v>
      </c>
      <c r="C23" s="25" t="s">
        <v>453</v>
      </c>
      <c r="D23" s="32" t="s">
        <v>280</v>
      </c>
      <c r="E23" s="25" t="s">
        <v>163</v>
      </c>
      <c r="F23" s="29" t="s">
        <v>401</v>
      </c>
      <c r="G23" s="30" t="s">
        <v>442</v>
      </c>
      <c r="H23" s="29">
        <v>20250707</v>
      </c>
      <c r="I23" s="32" t="s">
        <v>416</v>
      </c>
      <c r="J23" s="32" t="s">
        <v>393</v>
      </c>
      <c r="K23" s="25" t="s">
        <v>444</v>
      </c>
      <c r="L23" s="84">
        <v>45845</v>
      </c>
      <c r="M23" s="25" t="s">
        <v>451</v>
      </c>
      <c r="N23" s="29" t="s">
        <v>452</v>
      </c>
      <c r="O23" s="25" t="s">
        <v>397</v>
      </c>
      <c r="P23" s="29" t="s">
        <v>398</v>
      </c>
      <c r="Q23" s="25">
        <v>98</v>
      </c>
      <c r="R23" s="25">
        <v>2000</v>
      </c>
      <c r="S23" s="25"/>
      <c r="T23" s="25">
        <v>103.111</v>
      </c>
      <c r="U23" s="25"/>
      <c r="V23" s="25"/>
      <c r="W23" s="25"/>
      <c r="X23" s="25"/>
      <c r="Y23" s="25"/>
      <c r="Z23" s="25"/>
      <c r="AA23" s="29" t="s">
        <v>214</v>
      </c>
      <c r="AB23" s="25" t="s">
        <v>1136</v>
      </c>
      <c r="AC23" s="25" t="s">
        <v>222</v>
      </c>
    </row>
    <row r="24" s="5" customFormat="1" ht="36" spans="1:29">
      <c r="A24" s="25" t="s">
        <v>387</v>
      </c>
      <c r="B24" s="26">
        <v>5</v>
      </c>
      <c r="C24" s="25" t="s">
        <v>454</v>
      </c>
      <c r="D24" s="32" t="s">
        <v>281</v>
      </c>
      <c r="E24" s="25" t="s">
        <v>163</v>
      </c>
      <c r="F24" s="29" t="s">
        <v>401</v>
      </c>
      <c r="G24" s="30" t="s">
        <v>442</v>
      </c>
      <c r="H24" s="29">
        <v>20250707</v>
      </c>
      <c r="I24" s="32" t="s">
        <v>455</v>
      </c>
      <c r="J24" s="32" t="s">
        <v>404</v>
      </c>
      <c r="K24" s="25" t="s">
        <v>444</v>
      </c>
      <c r="L24" s="84">
        <v>45845</v>
      </c>
      <c r="M24" s="29" t="s">
        <v>445</v>
      </c>
      <c r="N24" s="29" t="s">
        <v>446</v>
      </c>
      <c r="O24" s="25" t="s">
        <v>397</v>
      </c>
      <c r="P24" s="29" t="s">
        <v>398</v>
      </c>
      <c r="Q24" s="25"/>
      <c r="R24" s="25">
        <v>1000</v>
      </c>
      <c r="S24" s="25" t="s">
        <v>218</v>
      </c>
      <c r="T24" s="25"/>
      <c r="U24" s="25"/>
      <c r="V24" s="25">
        <v>8</v>
      </c>
      <c r="W24" s="25">
        <v>4.4</v>
      </c>
      <c r="X24" s="25" t="s">
        <v>445</v>
      </c>
      <c r="Y24" s="29" t="s">
        <v>446</v>
      </c>
      <c r="Z24" s="25">
        <v>10000000</v>
      </c>
      <c r="AA24" s="29" t="s">
        <v>214</v>
      </c>
      <c r="AB24" s="25" t="s">
        <v>1136</v>
      </c>
      <c r="AC24" s="25" t="s">
        <v>222</v>
      </c>
    </row>
    <row r="25" s="7" customFormat="1" ht="36" spans="1:29">
      <c r="A25" s="25" t="s">
        <v>387</v>
      </c>
      <c r="B25" s="26">
        <v>6</v>
      </c>
      <c r="C25" s="25" t="s">
        <v>456</v>
      </c>
      <c r="D25" s="32" t="s">
        <v>282</v>
      </c>
      <c r="E25" s="25" t="s">
        <v>163</v>
      </c>
      <c r="F25" s="29" t="s">
        <v>401</v>
      </c>
      <c r="G25" s="30" t="s">
        <v>442</v>
      </c>
      <c r="H25" s="29">
        <v>20250707</v>
      </c>
      <c r="I25" s="46" t="s">
        <v>403</v>
      </c>
      <c r="J25" s="32" t="s">
        <v>404</v>
      </c>
      <c r="K25" s="25" t="s">
        <v>444</v>
      </c>
      <c r="L25" s="84">
        <v>45845</v>
      </c>
      <c r="M25" s="29" t="s">
        <v>445</v>
      </c>
      <c r="N25" s="29" t="s">
        <v>446</v>
      </c>
      <c r="O25" s="25" t="s">
        <v>397</v>
      </c>
      <c r="P25" s="29" t="s">
        <v>398</v>
      </c>
      <c r="Q25" s="25">
        <v>89</v>
      </c>
      <c r="R25" s="25">
        <v>3000</v>
      </c>
      <c r="S25" s="25" t="s">
        <v>218</v>
      </c>
      <c r="T25" s="25">
        <v>94.1288</v>
      </c>
      <c r="U25" s="25"/>
      <c r="V25" s="25">
        <v>8</v>
      </c>
      <c r="W25" s="25">
        <v>4.5</v>
      </c>
      <c r="X25" s="25" t="s">
        <v>445</v>
      </c>
      <c r="Y25" s="29" t="s">
        <v>446</v>
      </c>
      <c r="Z25" s="25"/>
      <c r="AA25" s="29" t="s">
        <v>214</v>
      </c>
      <c r="AB25" s="25" t="s">
        <v>1136</v>
      </c>
      <c r="AC25" s="25" t="s">
        <v>222</v>
      </c>
    </row>
    <row r="26" s="7" customFormat="1" ht="24" spans="1:29">
      <c r="A26" s="25" t="s">
        <v>387</v>
      </c>
      <c r="B26" s="26">
        <v>7</v>
      </c>
      <c r="C26" s="25" t="s">
        <v>457</v>
      </c>
      <c r="D26" s="25" t="s">
        <v>283</v>
      </c>
      <c r="E26" s="25" t="s">
        <v>163</v>
      </c>
      <c r="F26" s="29" t="s">
        <v>401</v>
      </c>
      <c r="G26" s="30" t="s">
        <v>442</v>
      </c>
      <c r="H26" s="29">
        <v>20250707</v>
      </c>
      <c r="I26" s="46" t="s">
        <v>458</v>
      </c>
      <c r="J26" s="32" t="s">
        <v>404</v>
      </c>
      <c r="K26" s="25" t="s">
        <v>444</v>
      </c>
      <c r="L26" s="84">
        <v>45845</v>
      </c>
      <c r="M26" s="25" t="s">
        <v>451</v>
      </c>
      <c r="N26" s="29" t="s">
        <v>452</v>
      </c>
      <c r="O26" s="25" t="s">
        <v>397</v>
      </c>
      <c r="P26" s="29" t="s">
        <v>398</v>
      </c>
      <c r="Q26" s="25"/>
      <c r="R26" s="33">
        <v>1000</v>
      </c>
      <c r="S26" s="25"/>
      <c r="T26" s="25"/>
      <c r="U26" s="25"/>
      <c r="V26" s="25">
        <v>8</v>
      </c>
      <c r="W26" s="25">
        <v>4.6</v>
      </c>
      <c r="X26" s="25" t="s">
        <v>451</v>
      </c>
      <c r="Y26" s="29" t="s">
        <v>452</v>
      </c>
      <c r="Z26" s="33">
        <v>10000000</v>
      </c>
      <c r="AA26" s="29" t="s">
        <v>214</v>
      </c>
      <c r="AB26" s="25" t="s">
        <v>1136</v>
      </c>
      <c r="AC26" s="25" t="s">
        <v>222</v>
      </c>
    </row>
    <row r="27" s="7" customFormat="1" ht="24" spans="1:29">
      <c r="A27" s="25" t="s">
        <v>387</v>
      </c>
      <c r="B27" s="26">
        <v>8</v>
      </c>
      <c r="C27" s="25" t="s">
        <v>459</v>
      </c>
      <c r="D27" s="32" t="s">
        <v>284</v>
      </c>
      <c r="E27" s="25" t="s">
        <v>163</v>
      </c>
      <c r="F27" s="25" t="s">
        <v>436</v>
      </c>
      <c r="G27" s="30" t="s">
        <v>442</v>
      </c>
      <c r="H27" s="29">
        <v>20250708</v>
      </c>
      <c r="I27" s="32" t="s">
        <v>392</v>
      </c>
      <c r="J27" s="32" t="s">
        <v>393</v>
      </c>
      <c r="K27" s="25" t="s">
        <v>460</v>
      </c>
      <c r="L27" s="84">
        <v>45846</v>
      </c>
      <c r="M27" s="29" t="s">
        <v>445</v>
      </c>
      <c r="N27" s="29" t="s">
        <v>446</v>
      </c>
      <c r="O27" s="25" t="s">
        <v>397</v>
      </c>
      <c r="P27" s="29" t="s">
        <v>398</v>
      </c>
      <c r="Q27" s="25">
        <v>99</v>
      </c>
      <c r="R27" s="25">
        <v>1000</v>
      </c>
      <c r="S27" s="25" t="s">
        <v>218</v>
      </c>
      <c r="T27" s="25">
        <v>104.1466</v>
      </c>
      <c r="U27" s="25"/>
      <c r="V27" s="25"/>
      <c r="W27" s="25"/>
      <c r="X27" s="25"/>
      <c r="Y27" s="25"/>
      <c r="Z27" s="25"/>
      <c r="AA27" s="29" t="s">
        <v>1137</v>
      </c>
      <c r="AB27" s="25" t="s">
        <v>1136</v>
      </c>
      <c r="AC27" s="25" t="s">
        <v>222</v>
      </c>
    </row>
    <row r="28" s="7" customFormat="1" ht="24" spans="1:29">
      <c r="A28" s="25" t="s">
        <v>387</v>
      </c>
      <c r="B28" s="26">
        <v>9</v>
      </c>
      <c r="C28" s="25" t="s">
        <v>461</v>
      </c>
      <c r="D28" s="32" t="s">
        <v>285</v>
      </c>
      <c r="E28" s="25" t="s">
        <v>163</v>
      </c>
      <c r="F28" s="25" t="s">
        <v>436</v>
      </c>
      <c r="G28" s="30" t="s">
        <v>442</v>
      </c>
      <c r="H28" s="29">
        <v>20250708</v>
      </c>
      <c r="I28" s="32" t="s">
        <v>412</v>
      </c>
      <c r="J28" s="32" t="s">
        <v>393</v>
      </c>
      <c r="K28" s="25" t="s">
        <v>444</v>
      </c>
      <c r="L28" s="84">
        <v>45846</v>
      </c>
      <c r="M28" s="25" t="s">
        <v>451</v>
      </c>
      <c r="N28" s="29" t="s">
        <v>452</v>
      </c>
      <c r="O28" s="25" t="s">
        <v>397</v>
      </c>
      <c r="P28" s="29" t="s">
        <v>398</v>
      </c>
      <c r="Q28" s="25">
        <v>99</v>
      </c>
      <c r="R28" s="25">
        <v>1000</v>
      </c>
      <c r="S28" s="25" t="s">
        <v>218</v>
      </c>
      <c r="T28" s="25">
        <v>104.147</v>
      </c>
      <c r="U28" s="25"/>
      <c r="V28" s="25"/>
      <c r="W28" s="25"/>
      <c r="X28" s="25"/>
      <c r="Y28" s="25"/>
      <c r="Z28" s="25"/>
      <c r="AA28" s="29" t="s">
        <v>214</v>
      </c>
      <c r="AB28" s="25" t="s">
        <v>1136</v>
      </c>
      <c r="AC28" s="25" t="s">
        <v>222</v>
      </c>
    </row>
    <row r="29" s="7" customFormat="1" ht="24" spans="1:29">
      <c r="A29" s="25" t="s">
        <v>387</v>
      </c>
      <c r="B29" s="26">
        <v>10</v>
      </c>
      <c r="C29" s="25" t="s">
        <v>462</v>
      </c>
      <c r="D29" s="32" t="s">
        <v>286</v>
      </c>
      <c r="E29" s="25" t="s">
        <v>163</v>
      </c>
      <c r="F29" s="25" t="s">
        <v>436</v>
      </c>
      <c r="G29" s="30" t="s">
        <v>442</v>
      </c>
      <c r="H29" s="29">
        <v>20250708</v>
      </c>
      <c r="I29" s="32" t="s">
        <v>416</v>
      </c>
      <c r="J29" s="32" t="s">
        <v>393</v>
      </c>
      <c r="K29" s="25" t="s">
        <v>444</v>
      </c>
      <c r="L29" s="84">
        <v>45846</v>
      </c>
      <c r="M29" s="29" t="s">
        <v>445</v>
      </c>
      <c r="N29" s="29" t="s">
        <v>446</v>
      </c>
      <c r="O29" s="25" t="s">
        <v>397</v>
      </c>
      <c r="P29" s="29" t="s">
        <v>398</v>
      </c>
      <c r="Q29" s="25">
        <v>101</v>
      </c>
      <c r="R29" s="25">
        <v>1000</v>
      </c>
      <c r="S29" s="25"/>
      <c r="T29" s="25">
        <v>106.1466</v>
      </c>
      <c r="U29" s="25"/>
      <c r="V29" s="25"/>
      <c r="W29" s="25"/>
      <c r="X29" s="25"/>
      <c r="Y29" s="25"/>
      <c r="Z29" s="25"/>
      <c r="AA29" s="29" t="s">
        <v>214</v>
      </c>
      <c r="AB29" s="25" t="s">
        <v>1136</v>
      </c>
      <c r="AC29" s="25" t="s">
        <v>222</v>
      </c>
    </row>
    <row r="30" s="7" customFormat="1" ht="36" spans="1:29">
      <c r="A30" s="25" t="s">
        <v>387</v>
      </c>
      <c r="B30" s="26">
        <v>11</v>
      </c>
      <c r="C30" s="25" t="s">
        <v>463</v>
      </c>
      <c r="D30" s="32" t="s">
        <v>287</v>
      </c>
      <c r="E30" s="25" t="s">
        <v>163</v>
      </c>
      <c r="F30" s="25" t="s">
        <v>436</v>
      </c>
      <c r="G30" s="30" t="s">
        <v>442</v>
      </c>
      <c r="H30" s="29">
        <v>20250708</v>
      </c>
      <c r="I30" s="32" t="s">
        <v>455</v>
      </c>
      <c r="J30" s="32" t="s">
        <v>404</v>
      </c>
      <c r="K30" s="25" t="s">
        <v>444</v>
      </c>
      <c r="L30" s="84">
        <v>45846</v>
      </c>
      <c r="M30" s="29" t="s">
        <v>445</v>
      </c>
      <c r="N30" s="29" t="s">
        <v>446</v>
      </c>
      <c r="O30" s="25" t="s">
        <v>397</v>
      </c>
      <c r="P30" s="29" t="s">
        <v>398</v>
      </c>
      <c r="Q30" s="25"/>
      <c r="R30" s="25">
        <v>1000</v>
      </c>
      <c r="S30" s="25" t="s">
        <v>218</v>
      </c>
      <c r="T30" s="25"/>
      <c r="U30" s="25"/>
      <c r="V30" s="25">
        <v>8</v>
      </c>
      <c r="W30" s="25">
        <v>4.5</v>
      </c>
      <c r="X30" s="25" t="s">
        <v>445</v>
      </c>
      <c r="Y30" s="29" t="s">
        <v>446</v>
      </c>
      <c r="Z30" s="25">
        <v>10000000</v>
      </c>
      <c r="AA30" s="29" t="s">
        <v>214</v>
      </c>
      <c r="AB30" s="25" t="s">
        <v>1136</v>
      </c>
      <c r="AC30" s="25" t="s">
        <v>222</v>
      </c>
    </row>
    <row r="31" s="7" customFormat="1" ht="36" spans="1:29">
      <c r="A31" s="25" t="s">
        <v>387</v>
      </c>
      <c r="B31" s="26">
        <v>12</v>
      </c>
      <c r="C31" s="25" t="s">
        <v>464</v>
      </c>
      <c r="D31" s="46" t="s">
        <v>288</v>
      </c>
      <c r="E31" s="25" t="s">
        <v>163</v>
      </c>
      <c r="F31" s="25" t="s">
        <v>436</v>
      </c>
      <c r="G31" s="30" t="s">
        <v>442</v>
      </c>
      <c r="H31" s="29">
        <v>20250708</v>
      </c>
      <c r="I31" s="46" t="s">
        <v>403</v>
      </c>
      <c r="J31" s="32" t="s">
        <v>404</v>
      </c>
      <c r="K31" s="25" t="s">
        <v>444</v>
      </c>
      <c r="L31" s="84">
        <v>45846</v>
      </c>
      <c r="M31" s="29" t="s">
        <v>445</v>
      </c>
      <c r="N31" s="29" t="s">
        <v>446</v>
      </c>
      <c r="O31" s="25" t="s">
        <v>397</v>
      </c>
      <c r="P31" s="29" t="s">
        <v>398</v>
      </c>
      <c r="Q31" s="25">
        <v>89</v>
      </c>
      <c r="R31" s="25">
        <v>3000</v>
      </c>
      <c r="S31" s="25" t="s">
        <v>218</v>
      </c>
      <c r="T31" s="25">
        <v>94.1466</v>
      </c>
      <c r="U31" s="25"/>
      <c r="V31" s="25">
        <v>8</v>
      </c>
      <c r="W31" s="25">
        <v>4.5</v>
      </c>
      <c r="X31" s="25" t="s">
        <v>445</v>
      </c>
      <c r="Y31" s="29" t="s">
        <v>446</v>
      </c>
      <c r="Z31" s="25"/>
      <c r="AA31" s="29" t="s">
        <v>214</v>
      </c>
      <c r="AB31" s="25" t="s">
        <v>1136</v>
      </c>
      <c r="AC31" s="25" t="s">
        <v>222</v>
      </c>
    </row>
    <row r="32" s="7" customFormat="1" ht="24" spans="1:29">
      <c r="A32" s="25" t="s">
        <v>387</v>
      </c>
      <c r="B32" s="26">
        <v>13</v>
      </c>
      <c r="C32" s="25" t="s">
        <v>465</v>
      </c>
      <c r="D32" s="25" t="s">
        <v>289</v>
      </c>
      <c r="E32" s="25" t="s">
        <v>163</v>
      </c>
      <c r="F32" s="25" t="s">
        <v>436</v>
      </c>
      <c r="G32" s="30" t="s">
        <v>442</v>
      </c>
      <c r="H32" s="29">
        <v>20250708</v>
      </c>
      <c r="I32" s="46" t="s">
        <v>458</v>
      </c>
      <c r="J32" s="32" t="s">
        <v>404</v>
      </c>
      <c r="K32" s="25" t="s">
        <v>444</v>
      </c>
      <c r="L32" s="84">
        <v>45846</v>
      </c>
      <c r="M32" s="25" t="s">
        <v>451</v>
      </c>
      <c r="N32" s="29" t="s">
        <v>452</v>
      </c>
      <c r="O32" s="25" t="s">
        <v>397</v>
      </c>
      <c r="P32" s="29" t="s">
        <v>398</v>
      </c>
      <c r="Q32" s="25"/>
      <c r="R32" s="33">
        <v>1000</v>
      </c>
      <c r="S32" s="25"/>
      <c r="T32" s="25"/>
      <c r="U32" s="25"/>
      <c r="V32" s="25">
        <v>4</v>
      </c>
      <c r="W32" s="25">
        <v>4.623</v>
      </c>
      <c r="X32" s="25" t="s">
        <v>451</v>
      </c>
      <c r="Y32" s="29" t="s">
        <v>452</v>
      </c>
      <c r="Z32" s="33">
        <v>10000000</v>
      </c>
      <c r="AA32" s="29" t="s">
        <v>214</v>
      </c>
      <c r="AB32" s="25" t="s">
        <v>1136</v>
      </c>
      <c r="AC32" s="25" t="s">
        <v>222</v>
      </c>
    </row>
    <row r="33" s="5" customFormat="1" ht="51.75" customHeight="1" spans="1:29">
      <c r="A33" s="25" t="s">
        <v>387</v>
      </c>
      <c r="B33" s="26">
        <v>14</v>
      </c>
      <c r="C33" s="25" t="s">
        <v>466</v>
      </c>
      <c r="D33" s="47" t="s">
        <v>290</v>
      </c>
      <c r="E33" s="25" t="s">
        <v>163</v>
      </c>
      <c r="F33" s="29" t="s">
        <v>467</v>
      </c>
      <c r="G33" s="30" t="s">
        <v>442</v>
      </c>
      <c r="H33" s="29">
        <v>20250708</v>
      </c>
      <c r="I33" s="32" t="s">
        <v>392</v>
      </c>
      <c r="J33" s="32" t="s">
        <v>432</v>
      </c>
      <c r="K33" s="25" t="s">
        <v>444</v>
      </c>
      <c r="L33" s="84">
        <v>45846</v>
      </c>
      <c r="M33" s="29" t="s">
        <v>445</v>
      </c>
      <c r="N33" s="29" t="s">
        <v>446</v>
      </c>
      <c r="O33" s="25" t="s">
        <v>397</v>
      </c>
      <c r="P33" s="29" t="s">
        <v>398</v>
      </c>
      <c r="Q33" s="25">
        <v>99</v>
      </c>
      <c r="R33" s="25">
        <v>5000</v>
      </c>
      <c r="S33" s="25" t="s">
        <v>218</v>
      </c>
      <c r="T33" s="25">
        <v>104.1466</v>
      </c>
      <c r="U33" s="25"/>
      <c r="V33" s="25"/>
      <c r="W33" s="25"/>
      <c r="X33" s="25"/>
      <c r="Y33" s="25"/>
      <c r="Z33" s="25"/>
      <c r="AA33" s="29" t="s">
        <v>214</v>
      </c>
      <c r="AB33" s="25" t="s">
        <v>1136</v>
      </c>
      <c r="AC33" s="25" t="s">
        <v>222</v>
      </c>
    </row>
    <row r="34" s="7" customFormat="1" ht="24" spans="1:29">
      <c r="A34" s="48" t="s">
        <v>387</v>
      </c>
      <c r="B34" s="26">
        <v>15</v>
      </c>
      <c r="C34" s="48" t="s">
        <v>468</v>
      </c>
      <c r="D34" s="32" t="s">
        <v>291</v>
      </c>
      <c r="E34" s="25" t="s">
        <v>163</v>
      </c>
      <c r="F34" s="29" t="s">
        <v>467</v>
      </c>
      <c r="G34" s="30" t="s">
        <v>442</v>
      </c>
      <c r="H34" s="29">
        <v>20250708</v>
      </c>
      <c r="I34" s="32" t="s">
        <v>412</v>
      </c>
      <c r="J34" s="32" t="s">
        <v>432</v>
      </c>
      <c r="K34" s="25" t="s">
        <v>444</v>
      </c>
      <c r="L34" s="84">
        <v>45846</v>
      </c>
      <c r="M34" s="25" t="s">
        <v>451</v>
      </c>
      <c r="N34" s="29" t="s">
        <v>452</v>
      </c>
      <c r="O34" s="25" t="s">
        <v>397</v>
      </c>
      <c r="P34" s="85" t="s">
        <v>398</v>
      </c>
      <c r="Q34" s="25">
        <v>99</v>
      </c>
      <c r="R34" s="25">
        <v>3000</v>
      </c>
      <c r="S34" s="25" t="s">
        <v>218</v>
      </c>
      <c r="T34" s="25">
        <v>104.147</v>
      </c>
      <c r="U34" s="48"/>
      <c r="V34" s="48"/>
      <c r="W34" s="48"/>
      <c r="X34" s="48"/>
      <c r="Y34" s="48"/>
      <c r="Z34" s="48"/>
      <c r="AA34" s="29" t="s">
        <v>214</v>
      </c>
      <c r="AB34" s="25" t="s">
        <v>1136</v>
      </c>
      <c r="AC34" s="25" t="s">
        <v>222</v>
      </c>
    </row>
    <row r="35" s="8" customFormat="1" ht="24" spans="1:29">
      <c r="A35" s="48" t="s">
        <v>387</v>
      </c>
      <c r="B35" s="26">
        <v>16</v>
      </c>
      <c r="C35" s="25" t="s">
        <v>469</v>
      </c>
      <c r="D35" s="32" t="s">
        <v>292</v>
      </c>
      <c r="E35" s="25" t="s">
        <v>163</v>
      </c>
      <c r="F35" s="29" t="s">
        <v>467</v>
      </c>
      <c r="G35" s="30" t="s">
        <v>442</v>
      </c>
      <c r="H35" s="29">
        <v>20250708</v>
      </c>
      <c r="I35" s="32" t="s">
        <v>416</v>
      </c>
      <c r="J35" s="32" t="s">
        <v>432</v>
      </c>
      <c r="K35" s="25" t="s">
        <v>444</v>
      </c>
      <c r="L35" s="84">
        <v>45846</v>
      </c>
      <c r="M35" s="29" t="s">
        <v>445</v>
      </c>
      <c r="N35" s="29" t="s">
        <v>446</v>
      </c>
      <c r="O35" s="25" t="s">
        <v>397</v>
      </c>
      <c r="P35" s="29" t="s">
        <v>398</v>
      </c>
      <c r="Q35" s="25">
        <v>102</v>
      </c>
      <c r="R35" s="25">
        <v>2000</v>
      </c>
      <c r="S35" s="25" t="s">
        <v>218</v>
      </c>
      <c r="T35" s="25">
        <v>107.1466</v>
      </c>
      <c r="U35" s="25"/>
      <c r="V35" s="25"/>
      <c r="W35" s="25"/>
      <c r="X35" s="25"/>
      <c r="Y35" s="25"/>
      <c r="Z35" s="25"/>
      <c r="AA35" s="29" t="s">
        <v>214</v>
      </c>
      <c r="AB35" s="25" t="s">
        <v>1136</v>
      </c>
      <c r="AC35" s="25" t="s">
        <v>222</v>
      </c>
    </row>
    <row r="36" s="7" customFormat="1" ht="36" spans="1:29">
      <c r="A36" s="48" t="s">
        <v>387</v>
      </c>
      <c r="B36" s="26">
        <v>17</v>
      </c>
      <c r="C36" s="25" t="s">
        <v>470</v>
      </c>
      <c r="D36" s="32" t="s">
        <v>293</v>
      </c>
      <c r="E36" s="25" t="s">
        <v>163</v>
      </c>
      <c r="F36" s="29" t="s">
        <v>467</v>
      </c>
      <c r="G36" s="30" t="s">
        <v>442</v>
      </c>
      <c r="H36" s="29">
        <v>20250708</v>
      </c>
      <c r="I36" s="32" t="s">
        <v>455</v>
      </c>
      <c r="J36" s="32" t="s">
        <v>471</v>
      </c>
      <c r="K36" s="25" t="s">
        <v>444</v>
      </c>
      <c r="L36" s="84">
        <v>45846</v>
      </c>
      <c r="M36" s="29" t="s">
        <v>445</v>
      </c>
      <c r="N36" s="29" t="s">
        <v>446</v>
      </c>
      <c r="O36" s="25" t="s">
        <v>397</v>
      </c>
      <c r="P36" s="29" t="s">
        <v>398</v>
      </c>
      <c r="Q36" s="25"/>
      <c r="R36" s="25">
        <v>2000</v>
      </c>
      <c r="S36" s="25" t="s">
        <v>218</v>
      </c>
      <c r="T36" s="25"/>
      <c r="U36" s="25"/>
      <c r="V36" s="25">
        <v>8</v>
      </c>
      <c r="W36" s="25">
        <v>3.4568</v>
      </c>
      <c r="X36" s="25" t="s">
        <v>445</v>
      </c>
      <c r="Y36" s="29" t="s">
        <v>446</v>
      </c>
      <c r="Z36" s="25">
        <v>20000000</v>
      </c>
      <c r="AA36" s="29" t="s">
        <v>214</v>
      </c>
      <c r="AB36" s="25" t="s">
        <v>1136</v>
      </c>
      <c r="AC36" s="25" t="s">
        <v>222</v>
      </c>
    </row>
    <row r="37" s="7" customFormat="1" ht="36" spans="1:29">
      <c r="A37" s="48" t="s">
        <v>387</v>
      </c>
      <c r="B37" s="26">
        <v>18</v>
      </c>
      <c r="C37" s="25" t="s">
        <v>472</v>
      </c>
      <c r="D37" s="46" t="s">
        <v>294</v>
      </c>
      <c r="E37" s="25" t="s">
        <v>163</v>
      </c>
      <c r="F37" s="29" t="s">
        <v>467</v>
      </c>
      <c r="G37" s="30" t="s">
        <v>442</v>
      </c>
      <c r="H37" s="29">
        <v>20250708</v>
      </c>
      <c r="I37" s="46" t="s">
        <v>403</v>
      </c>
      <c r="J37" s="32" t="s">
        <v>471</v>
      </c>
      <c r="K37" s="25" t="s">
        <v>444</v>
      </c>
      <c r="L37" s="84">
        <v>45846</v>
      </c>
      <c r="M37" s="29" t="s">
        <v>445</v>
      </c>
      <c r="N37" s="29" t="s">
        <v>446</v>
      </c>
      <c r="O37" s="25" t="s">
        <v>397</v>
      </c>
      <c r="P37" s="29" t="s">
        <v>398</v>
      </c>
      <c r="Q37" s="25">
        <v>98.3456</v>
      </c>
      <c r="R37" s="25">
        <v>4000</v>
      </c>
      <c r="S37" s="25" t="s">
        <v>218</v>
      </c>
      <c r="T37" s="25">
        <v>103.4922</v>
      </c>
      <c r="U37" s="25"/>
      <c r="V37" s="25">
        <v>4</v>
      </c>
      <c r="W37" s="25">
        <v>4.5556</v>
      </c>
      <c r="X37" s="25" t="s">
        <v>445</v>
      </c>
      <c r="Y37" s="29" t="s">
        <v>446</v>
      </c>
      <c r="Z37" s="25"/>
      <c r="AA37" s="29" t="s">
        <v>214</v>
      </c>
      <c r="AB37" s="25" t="s">
        <v>1136</v>
      </c>
      <c r="AC37" s="25" t="s">
        <v>222</v>
      </c>
    </row>
    <row r="38" s="7" customFormat="1" ht="24" spans="1:29">
      <c r="A38" s="48" t="s">
        <v>387</v>
      </c>
      <c r="B38" s="26">
        <v>19</v>
      </c>
      <c r="C38" s="25" t="s">
        <v>473</v>
      </c>
      <c r="D38" s="25" t="s">
        <v>296</v>
      </c>
      <c r="E38" s="25" t="s">
        <v>163</v>
      </c>
      <c r="F38" s="29" t="s">
        <v>467</v>
      </c>
      <c r="G38" s="30" t="s">
        <v>442</v>
      </c>
      <c r="H38" s="29">
        <v>20250708</v>
      </c>
      <c r="I38" s="46" t="s">
        <v>458</v>
      </c>
      <c r="J38" s="32" t="s">
        <v>471</v>
      </c>
      <c r="K38" s="25" t="s">
        <v>444</v>
      </c>
      <c r="L38" s="84">
        <v>45846</v>
      </c>
      <c r="M38" s="25" t="s">
        <v>451</v>
      </c>
      <c r="N38" s="29" t="s">
        <v>452</v>
      </c>
      <c r="O38" s="25" t="s">
        <v>397</v>
      </c>
      <c r="P38" s="29" t="s">
        <v>398</v>
      </c>
      <c r="Q38" s="25"/>
      <c r="R38" s="33">
        <v>3000</v>
      </c>
      <c r="S38" s="25"/>
      <c r="T38" s="25"/>
      <c r="U38" s="25"/>
      <c r="V38" s="25">
        <v>4</v>
      </c>
      <c r="W38" s="25">
        <v>4.623</v>
      </c>
      <c r="X38" s="25" t="s">
        <v>451</v>
      </c>
      <c r="Y38" s="29" t="s">
        <v>452</v>
      </c>
      <c r="Z38" s="33">
        <v>30000000</v>
      </c>
      <c r="AA38" s="29" t="s">
        <v>214</v>
      </c>
      <c r="AB38" s="25" t="s">
        <v>1136</v>
      </c>
      <c r="AC38" s="25" t="s">
        <v>222</v>
      </c>
    </row>
    <row r="39" s="7" customFormat="1" ht="24" spans="1:29">
      <c r="A39" s="49" t="s">
        <v>387</v>
      </c>
      <c r="B39" s="50">
        <v>20</v>
      </c>
      <c r="C39" s="49" t="s">
        <v>474</v>
      </c>
      <c r="D39" s="51" t="s">
        <v>297</v>
      </c>
      <c r="E39" s="25" t="s">
        <v>163</v>
      </c>
      <c r="F39" s="52" t="s">
        <v>475</v>
      </c>
      <c r="G39" s="53" t="s">
        <v>442</v>
      </c>
      <c r="H39" s="52">
        <v>20250708</v>
      </c>
      <c r="I39" s="51" t="s">
        <v>412</v>
      </c>
      <c r="J39" s="51" t="s">
        <v>432</v>
      </c>
      <c r="K39" s="49" t="s">
        <v>476</v>
      </c>
      <c r="L39" s="86">
        <v>45846</v>
      </c>
      <c r="M39" s="49" t="s">
        <v>451</v>
      </c>
      <c r="N39" s="29" t="s">
        <v>452</v>
      </c>
      <c r="O39" s="49" t="s">
        <v>397</v>
      </c>
      <c r="P39" s="52" t="s">
        <v>398</v>
      </c>
      <c r="Q39" s="49">
        <v>99</v>
      </c>
      <c r="R39" s="49">
        <v>7000</v>
      </c>
      <c r="S39" s="49" t="s">
        <v>218</v>
      </c>
      <c r="T39" s="49">
        <v>104.147</v>
      </c>
      <c r="U39" s="49"/>
      <c r="V39" s="49"/>
      <c r="W39" s="49"/>
      <c r="X39" s="49"/>
      <c r="Y39" s="49"/>
      <c r="Z39" s="49"/>
      <c r="AA39" s="52" t="s">
        <v>236</v>
      </c>
      <c r="AB39" s="49" t="s">
        <v>1136</v>
      </c>
      <c r="AC39" s="49" t="s">
        <v>222</v>
      </c>
    </row>
    <row r="40" s="9" customFormat="1" ht="12" spans="1:29">
      <c r="A40" s="54"/>
      <c r="B40" s="40"/>
      <c r="C40" s="39"/>
      <c r="D40" s="41"/>
      <c r="E40" s="39"/>
      <c r="F40" s="42"/>
      <c r="G40" s="43"/>
      <c r="H40" s="42"/>
      <c r="I40" s="41"/>
      <c r="J40" s="41"/>
      <c r="K40" s="39"/>
      <c r="L40" s="83"/>
      <c r="M40" s="39"/>
      <c r="N40" s="42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</row>
    <row r="41" s="10" customFormat="1" ht="24" spans="1:29">
      <c r="A41" s="55" t="s">
        <v>387</v>
      </c>
      <c r="B41" s="56">
        <v>1</v>
      </c>
      <c r="C41" s="57" t="s">
        <v>477</v>
      </c>
      <c r="D41" s="57" t="s">
        <v>298</v>
      </c>
      <c r="E41" s="57" t="s">
        <v>166</v>
      </c>
      <c r="F41" s="58" t="s">
        <v>401</v>
      </c>
      <c r="G41" s="59" t="s">
        <v>478</v>
      </c>
      <c r="H41" s="58">
        <v>20250707</v>
      </c>
      <c r="I41" s="57" t="s">
        <v>392</v>
      </c>
      <c r="J41" s="57" t="s">
        <v>393</v>
      </c>
      <c r="K41" s="57" t="s">
        <v>479</v>
      </c>
      <c r="L41" s="87">
        <v>45845</v>
      </c>
      <c r="M41" s="57" t="s">
        <v>480</v>
      </c>
      <c r="N41" s="58" t="s">
        <v>481</v>
      </c>
      <c r="O41" s="57" t="s">
        <v>397</v>
      </c>
      <c r="P41" s="57" t="s">
        <v>398</v>
      </c>
      <c r="Q41" s="57">
        <v>98</v>
      </c>
      <c r="R41" s="57">
        <v>1000</v>
      </c>
      <c r="S41" s="57" t="s">
        <v>218</v>
      </c>
      <c r="T41" s="57">
        <v>100.3312</v>
      </c>
      <c r="U41" s="57"/>
      <c r="V41" s="57"/>
      <c r="W41" s="57"/>
      <c r="X41" s="57"/>
      <c r="Y41" s="57"/>
      <c r="Z41" s="57"/>
      <c r="AA41" s="57" t="s">
        <v>1138</v>
      </c>
      <c r="AB41" s="57" t="s">
        <v>1136</v>
      </c>
      <c r="AC41" s="57" t="s">
        <v>222</v>
      </c>
    </row>
    <row r="42" s="10" customFormat="1" ht="24" spans="1:29">
      <c r="A42" s="55" t="s">
        <v>387</v>
      </c>
      <c r="B42" s="56">
        <v>2</v>
      </c>
      <c r="C42" s="57" t="s">
        <v>482</v>
      </c>
      <c r="D42" s="57" t="s">
        <v>299</v>
      </c>
      <c r="E42" s="57" t="s">
        <v>166</v>
      </c>
      <c r="F42" s="58" t="s">
        <v>401</v>
      </c>
      <c r="G42" s="59" t="s">
        <v>478</v>
      </c>
      <c r="H42" s="58">
        <v>20250707</v>
      </c>
      <c r="I42" s="57" t="s">
        <v>412</v>
      </c>
      <c r="J42" s="57" t="s">
        <v>393</v>
      </c>
      <c r="K42" s="57" t="s">
        <v>479</v>
      </c>
      <c r="L42" s="87">
        <v>45845</v>
      </c>
      <c r="M42" s="57" t="s">
        <v>483</v>
      </c>
      <c r="N42" s="58" t="s">
        <v>484</v>
      </c>
      <c r="O42" s="57" t="s">
        <v>397</v>
      </c>
      <c r="P42" s="57" t="s">
        <v>398</v>
      </c>
      <c r="Q42" s="57">
        <v>99</v>
      </c>
      <c r="R42" s="57">
        <v>5000</v>
      </c>
      <c r="S42" s="57" t="s">
        <v>218</v>
      </c>
      <c r="T42" s="57">
        <v>101.331</v>
      </c>
      <c r="U42" s="57"/>
      <c r="V42" s="57"/>
      <c r="W42" s="57"/>
      <c r="X42" s="57"/>
      <c r="Y42" s="57"/>
      <c r="Z42" s="57"/>
      <c r="AA42" s="57" t="s">
        <v>1138</v>
      </c>
      <c r="AB42" s="57" t="s">
        <v>1136</v>
      </c>
      <c r="AC42" s="57" t="s">
        <v>222</v>
      </c>
    </row>
    <row r="43" s="10" customFormat="1" ht="24" spans="1:29">
      <c r="A43" s="55" t="s">
        <v>387</v>
      </c>
      <c r="B43" s="56">
        <v>3</v>
      </c>
      <c r="C43" s="57" t="s">
        <v>485</v>
      </c>
      <c r="D43" s="57" t="s">
        <v>300</v>
      </c>
      <c r="E43" s="57" t="s">
        <v>166</v>
      </c>
      <c r="F43" s="58" t="s">
        <v>409</v>
      </c>
      <c r="G43" s="59" t="s">
        <v>478</v>
      </c>
      <c r="H43" s="58">
        <v>20250707</v>
      </c>
      <c r="I43" s="57" t="s">
        <v>392</v>
      </c>
      <c r="J43" s="57" t="s">
        <v>432</v>
      </c>
      <c r="K43" s="57" t="s">
        <v>479</v>
      </c>
      <c r="L43" s="87">
        <v>45845</v>
      </c>
      <c r="M43" s="57" t="s">
        <v>480</v>
      </c>
      <c r="N43" s="58" t="s">
        <v>481</v>
      </c>
      <c r="O43" s="57" t="s">
        <v>397</v>
      </c>
      <c r="P43" s="57" t="s">
        <v>398</v>
      </c>
      <c r="Q43" s="57">
        <v>98</v>
      </c>
      <c r="R43" s="57">
        <v>2000</v>
      </c>
      <c r="S43" s="57" t="s">
        <v>218</v>
      </c>
      <c r="T43" s="57">
        <v>100.3312</v>
      </c>
      <c r="U43" s="57"/>
      <c r="V43" s="57"/>
      <c r="W43" s="57"/>
      <c r="X43" s="57"/>
      <c r="Y43" s="57"/>
      <c r="Z43" s="57"/>
      <c r="AA43" s="57" t="s">
        <v>1138</v>
      </c>
      <c r="AB43" s="57" t="s">
        <v>1136</v>
      </c>
      <c r="AC43" s="57" t="s">
        <v>222</v>
      </c>
    </row>
    <row r="44" s="10" customFormat="1" ht="24" spans="1:29">
      <c r="A44" s="55" t="s">
        <v>387</v>
      </c>
      <c r="B44" s="56">
        <v>4</v>
      </c>
      <c r="C44" s="57" t="s">
        <v>486</v>
      </c>
      <c r="D44" s="57" t="s">
        <v>301</v>
      </c>
      <c r="E44" s="57" t="s">
        <v>166</v>
      </c>
      <c r="F44" s="58" t="s">
        <v>409</v>
      </c>
      <c r="G44" s="59" t="s">
        <v>478</v>
      </c>
      <c r="H44" s="58">
        <v>20250707</v>
      </c>
      <c r="I44" s="57" t="s">
        <v>412</v>
      </c>
      <c r="J44" s="57" t="s">
        <v>432</v>
      </c>
      <c r="K44" s="57" t="s">
        <v>479</v>
      </c>
      <c r="L44" s="87">
        <v>45845</v>
      </c>
      <c r="M44" s="57" t="s">
        <v>483</v>
      </c>
      <c r="N44" s="58" t="s">
        <v>484</v>
      </c>
      <c r="O44" s="57" t="s">
        <v>397</v>
      </c>
      <c r="P44" s="57" t="s">
        <v>398</v>
      </c>
      <c r="Q44" s="57">
        <v>99.57</v>
      </c>
      <c r="R44" s="57">
        <v>1000</v>
      </c>
      <c r="S44" s="57" t="s">
        <v>218</v>
      </c>
      <c r="T44" s="57">
        <v>101.901</v>
      </c>
      <c r="U44" s="57"/>
      <c r="V44" s="57"/>
      <c r="W44" s="57"/>
      <c r="X44" s="57"/>
      <c r="Y44" s="57"/>
      <c r="Z44" s="57"/>
      <c r="AA44" s="57" t="s">
        <v>1138</v>
      </c>
      <c r="AB44" s="57" t="s">
        <v>1136</v>
      </c>
      <c r="AC44" s="57" t="s">
        <v>222</v>
      </c>
    </row>
    <row r="45" s="11" customFormat="1" ht="51.75" customHeight="1" spans="1:29">
      <c r="A45" s="57" t="s">
        <v>387</v>
      </c>
      <c r="B45" s="56">
        <v>5</v>
      </c>
      <c r="C45" s="57" t="s">
        <v>487</v>
      </c>
      <c r="D45" s="47" t="s">
        <v>302</v>
      </c>
      <c r="E45" s="57" t="s">
        <v>166</v>
      </c>
      <c r="F45" s="58" t="s">
        <v>426</v>
      </c>
      <c r="G45" s="59" t="s">
        <v>478</v>
      </c>
      <c r="H45" s="58">
        <v>20250708</v>
      </c>
      <c r="I45" s="47" t="s">
        <v>412</v>
      </c>
      <c r="J45" s="47" t="s">
        <v>393</v>
      </c>
      <c r="K45" s="57" t="s">
        <v>488</v>
      </c>
      <c r="L45" s="87">
        <v>45846</v>
      </c>
      <c r="M45" s="57" t="s">
        <v>483</v>
      </c>
      <c r="N45" s="58" t="s">
        <v>484</v>
      </c>
      <c r="O45" s="57" t="s">
        <v>397</v>
      </c>
      <c r="P45" s="57" t="s">
        <v>398</v>
      </c>
      <c r="Q45" s="57">
        <v>99</v>
      </c>
      <c r="R45" s="57">
        <v>1000</v>
      </c>
      <c r="S45" s="57" t="s">
        <v>218</v>
      </c>
      <c r="T45" s="57">
        <v>101.34</v>
      </c>
      <c r="U45" s="57"/>
      <c r="V45" s="57"/>
      <c r="W45" s="57"/>
      <c r="X45" s="57"/>
      <c r="Y45" s="57"/>
      <c r="Z45" s="57"/>
      <c r="AA45" s="57" t="s">
        <v>1139</v>
      </c>
      <c r="AB45" s="57" t="s">
        <v>1136</v>
      </c>
      <c r="AC45" s="57" t="s">
        <v>222</v>
      </c>
    </row>
    <row r="46" s="10" customFormat="1" ht="24" spans="1:29">
      <c r="A46" s="55" t="s">
        <v>387</v>
      </c>
      <c r="B46" s="56">
        <v>6</v>
      </c>
      <c r="C46" s="57" t="s">
        <v>489</v>
      </c>
      <c r="D46" s="57" t="s">
        <v>303</v>
      </c>
      <c r="E46" s="57" t="s">
        <v>166</v>
      </c>
      <c r="F46" s="57" t="s">
        <v>436</v>
      </c>
      <c r="G46" s="59" t="s">
        <v>478</v>
      </c>
      <c r="H46" s="58">
        <v>20250708</v>
      </c>
      <c r="I46" s="57" t="s">
        <v>392</v>
      </c>
      <c r="J46" s="57" t="s">
        <v>393</v>
      </c>
      <c r="K46" s="57" t="s">
        <v>479</v>
      </c>
      <c r="L46" s="87">
        <v>45846</v>
      </c>
      <c r="M46" s="57" t="s">
        <v>480</v>
      </c>
      <c r="N46" s="58" t="s">
        <v>481</v>
      </c>
      <c r="O46" s="57" t="s">
        <v>397</v>
      </c>
      <c r="P46" s="57" t="s">
        <v>398</v>
      </c>
      <c r="Q46" s="57">
        <v>98</v>
      </c>
      <c r="R46" s="57">
        <v>1000</v>
      </c>
      <c r="S46" s="57" t="s">
        <v>218</v>
      </c>
      <c r="T46" s="57">
        <v>100.3404</v>
      </c>
      <c r="U46" s="57"/>
      <c r="V46" s="57"/>
      <c r="W46" s="57"/>
      <c r="X46" s="57"/>
      <c r="Y46" s="57"/>
      <c r="Z46" s="57"/>
      <c r="AA46" s="57" t="s">
        <v>1138</v>
      </c>
      <c r="AB46" s="57" t="s">
        <v>1136</v>
      </c>
      <c r="AC46" s="57" t="s">
        <v>222</v>
      </c>
    </row>
    <row r="47" s="12" customFormat="1" ht="24" spans="1:29">
      <c r="A47" s="55" t="s">
        <v>387</v>
      </c>
      <c r="B47" s="56">
        <v>7</v>
      </c>
      <c r="C47" s="55" t="s">
        <v>490</v>
      </c>
      <c r="D47" s="55" t="s">
        <v>304</v>
      </c>
      <c r="E47" s="57" t="s">
        <v>166</v>
      </c>
      <c r="F47" s="57" t="s">
        <v>436</v>
      </c>
      <c r="G47" s="59" t="s">
        <v>478</v>
      </c>
      <c r="H47" s="58">
        <v>20250708</v>
      </c>
      <c r="I47" s="57" t="s">
        <v>412</v>
      </c>
      <c r="J47" s="55" t="s">
        <v>393</v>
      </c>
      <c r="K47" s="57" t="s">
        <v>479</v>
      </c>
      <c r="L47" s="87">
        <v>45846</v>
      </c>
      <c r="M47" s="57" t="s">
        <v>483</v>
      </c>
      <c r="N47" s="58" t="s">
        <v>484</v>
      </c>
      <c r="O47" s="57" t="s">
        <v>397</v>
      </c>
      <c r="P47" s="55" t="s">
        <v>398</v>
      </c>
      <c r="Q47" s="55">
        <v>99</v>
      </c>
      <c r="R47" s="57">
        <v>3000</v>
      </c>
      <c r="S47" s="57" t="s">
        <v>218</v>
      </c>
      <c r="T47" s="55">
        <v>101.34</v>
      </c>
      <c r="U47" s="55"/>
      <c r="V47" s="55"/>
      <c r="W47" s="55"/>
      <c r="X47" s="55"/>
      <c r="Y47" s="55"/>
      <c r="Z47" s="55"/>
      <c r="AA47" s="57" t="s">
        <v>1138</v>
      </c>
      <c r="AB47" s="57" t="s">
        <v>1136</v>
      </c>
      <c r="AC47" s="57" t="s">
        <v>222</v>
      </c>
    </row>
    <row r="48" s="9" customFormat="1" ht="12" spans="1:27">
      <c r="A48" s="60"/>
      <c r="B48" s="61"/>
      <c r="C48" s="62"/>
      <c r="D48" s="60"/>
      <c r="E48" s="63"/>
      <c r="F48" s="64"/>
      <c r="G48" s="65"/>
      <c r="H48" s="66"/>
      <c r="I48" s="88"/>
      <c r="J48" s="60"/>
      <c r="K48" s="63"/>
      <c r="L48" s="89"/>
      <c r="M48" s="63"/>
      <c r="N48" s="63"/>
      <c r="O48" s="63"/>
      <c r="P48" s="62"/>
      <c r="Q48" s="62"/>
      <c r="R48" s="63"/>
      <c r="S48" s="63"/>
      <c r="T48" s="54"/>
      <c r="U48" s="62"/>
      <c r="V48" s="62"/>
      <c r="W48" s="62"/>
      <c r="X48" s="95"/>
      <c r="Y48" s="95"/>
      <c r="Z48" s="95"/>
      <c r="AA48" s="97"/>
    </row>
    <row r="49" s="13" customFormat="1" ht="24" spans="1:27">
      <c r="A49" s="67" t="s">
        <v>387</v>
      </c>
      <c r="B49" s="14">
        <v>1</v>
      </c>
      <c r="C49" s="15"/>
      <c r="D49" s="14" t="s">
        <v>305</v>
      </c>
      <c r="E49" s="15" t="s">
        <v>491</v>
      </c>
      <c r="F49" s="16" t="s">
        <v>401</v>
      </c>
      <c r="G49" s="68" t="s">
        <v>442</v>
      </c>
      <c r="H49" s="17"/>
      <c r="I49" s="90" t="s">
        <v>403</v>
      </c>
      <c r="J49" s="14" t="s">
        <v>404</v>
      </c>
      <c r="K49" s="15" t="s">
        <v>492</v>
      </c>
      <c r="L49" s="18"/>
      <c r="M49" s="15"/>
      <c r="N49" s="15"/>
      <c r="O49" s="15"/>
      <c r="P49" s="15"/>
      <c r="Q49" s="15"/>
      <c r="R49" s="15"/>
      <c r="S49" s="15"/>
      <c r="T49" s="25"/>
      <c r="U49" s="15"/>
      <c r="V49" s="15"/>
      <c r="W49" s="15"/>
      <c r="X49" s="13"/>
      <c r="Y49" s="13"/>
      <c r="Z49" s="13"/>
      <c r="AA49" s="19"/>
    </row>
    <row r="50" s="13" customFormat="1" ht="24" spans="1:27">
      <c r="A50" s="67" t="s">
        <v>387</v>
      </c>
      <c r="B50" s="14">
        <v>2</v>
      </c>
      <c r="C50" s="15"/>
      <c r="D50" s="14" t="s">
        <v>310</v>
      </c>
      <c r="E50" s="15" t="s">
        <v>491</v>
      </c>
      <c r="F50" s="16" t="s">
        <v>467</v>
      </c>
      <c r="G50" s="68" t="s">
        <v>442</v>
      </c>
      <c r="H50" s="17"/>
      <c r="I50" s="90" t="s">
        <v>403</v>
      </c>
      <c r="J50" s="14" t="s">
        <v>471</v>
      </c>
      <c r="K50" s="15" t="s">
        <v>492</v>
      </c>
      <c r="L50" s="18"/>
      <c r="M50" s="15"/>
      <c r="N50" s="15"/>
      <c r="O50" s="15"/>
      <c r="P50" s="15"/>
      <c r="Q50" s="15"/>
      <c r="R50" s="15"/>
      <c r="S50" s="15"/>
      <c r="T50" s="25"/>
      <c r="U50" s="15"/>
      <c r="V50" s="15"/>
      <c r="W50" s="15"/>
      <c r="X50" s="13"/>
      <c r="Y50" s="13"/>
      <c r="Z50" s="13"/>
      <c r="AA50" s="19"/>
    </row>
    <row r="51" s="13" customFormat="1" ht="24" spans="1:27">
      <c r="A51" s="67" t="s">
        <v>387</v>
      </c>
      <c r="B51" s="14">
        <v>3</v>
      </c>
      <c r="C51" s="15"/>
      <c r="D51" s="14" t="s">
        <v>311</v>
      </c>
      <c r="E51" s="15" t="s">
        <v>491</v>
      </c>
      <c r="F51" s="15" t="s">
        <v>436</v>
      </c>
      <c r="G51" s="68" t="s">
        <v>442</v>
      </c>
      <c r="H51" s="17"/>
      <c r="I51" s="90" t="s">
        <v>403</v>
      </c>
      <c r="J51" s="14" t="s">
        <v>404</v>
      </c>
      <c r="K51" s="15" t="s">
        <v>492</v>
      </c>
      <c r="L51" s="18"/>
      <c r="M51" s="15"/>
      <c r="N51" s="15"/>
      <c r="O51" s="15"/>
      <c r="P51" s="15"/>
      <c r="Q51" s="15"/>
      <c r="R51" s="15"/>
      <c r="S51" s="15"/>
      <c r="T51" s="25"/>
      <c r="U51" s="15"/>
      <c r="V51" s="15"/>
      <c r="W51" s="15"/>
      <c r="X51" s="13"/>
      <c r="Y51" s="13"/>
      <c r="Z51" s="13"/>
      <c r="AA51" s="19"/>
    </row>
    <row r="52" s="13" customFormat="1" ht="24" spans="1:27">
      <c r="A52" s="67" t="s">
        <v>387</v>
      </c>
      <c r="B52" s="14">
        <v>1</v>
      </c>
      <c r="C52" s="15"/>
      <c r="D52" s="14" t="s">
        <v>307</v>
      </c>
      <c r="E52" s="15" t="s">
        <v>491</v>
      </c>
      <c r="F52" s="16" t="s">
        <v>401</v>
      </c>
      <c r="G52" s="68" t="s">
        <v>442</v>
      </c>
      <c r="H52" s="17"/>
      <c r="I52" s="90" t="s">
        <v>493</v>
      </c>
      <c r="J52" s="14" t="s">
        <v>404</v>
      </c>
      <c r="K52" s="15" t="s">
        <v>492</v>
      </c>
      <c r="L52" s="18"/>
      <c r="M52" s="15"/>
      <c r="N52" s="15"/>
      <c r="O52" s="15"/>
      <c r="P52" s="15"/>
      <c r="Q52" s="15"/>
      <c r="R52" s="15"/>
      <c r="S52" s="15"/>
      <c r="T52" s="25"/>
      <c r="U52" s="15"/>
      <c r="V52" s="15"/>
      <c r="W52" s="15"/>
      <c r="X52" s="13"/>
      <c r="Y52" s="13"/>
      <c r="Z52" s="13"/>
      <c r="AA52" s="19"/>
    </row>
    <row r="53" s="13" customFormat="1" ht="24" spans="1:27">
      <c r="A53" s="67" t="s">
        <v>387</v>
      </c>
      <c r="B53" s="14">
        <v>2</v>
      </c>
      <c r="C53" s="15"/>
      <c r="D53" s="14" t="s">
        <v>312</v>
      </c>
      <c r="E53" s="15" t="s">
        <v>491</v>
      </c>
      <c r="F53" s="16" t="s">
        <v>467</v>
      </c>
      <c r="G53" s="68" t="s">
        <v>442</v>
      </c>
      <c r="H53" s="17"/>
      <c r="I53" s="90" t="s">
        <v>493</v>
      </c>
      <c r="J53" s="14" t="s">
        <v>471</v>
      </c>
      <c r="K53" s="15" t="s">
        <v>492</v>
      </c>
      <c r="L53" s="18"/>
      <c r="M53" s="15"/>
      <c r="N53" s="15"/>
      <c r="O53" s="15"/>
      <c r="P53" s="15"/>
      <c r="Q53" s="15"/>
      <c r="R53" s="15"/>
      <c r="S53" s="15"/>
      <c r="T53" s="25"/>
      <c r="U53" s="15"/>
      <c r="V53" s="15"/>
      <c r="W53" s="15"/>
      <c r="X53" s="13"/>
      <c r="Y53" s="13"/>
      <c r="Z53" s="13"/>
      <c r="AA53" s="19"/>
    </row>
    <row r="54" s="13" customFormat="1" ht="24" spans="1:27">
      <c r="A54" s="67" t="s">
        <v>387</v>
      </c>
      <c r="B54" s="14">
        <v>3</v>
      </c>
      <c r="C54" s="15"/>
      <c r="D54" s="14" t="s">
        <v>313</v>
      </c>
      <c r="E54" s="15" t="s">
        <v>491</v>
      </c>
      <c r="F54" s="15" t="s">
        <v>436</v>
      </c>
      <c r="G54" s="68" t="s">
        <v>442</v>
      </c>
      <c r="H54" s="17"/>
      <c r="I54" s="90" t="s">
        <v>493</v>
      </c>
      <c r="J54" s="14" t="s">
        <v>404</v>
      </c>
      <c r="K54" s="15" t="s">
        <v>492</v>
      </c>
      <c r="L54" s="18"/>
      <c r="M54" s="15"/>
      <c r="N54" s="15"/>
      <c r="O54" s="15"/>
      <c r="P54" s="15"/>
      <c r="Q54" s="15"/>
      <c r="R54" s="15"/>
      <c r="S54" s="15"/>
      <c r="T54" s="25"/>
      <c r="U54" s="15"/>
      <c r="V54" s="15"/>
      <c r="W54" s="15"/>
      <c r="X54" s="13"/>
      <c r="Y54" s="13"/>
      <c r="Z54" s="13"/>
      <c r="AA54" s="19"/>
    </row>
    <row r="55" s="13" customFormat="1" ht="24" spans="1:27">
      <c r="A55" s="67" t="s">
        <v>387</v>
      </c>
      <c r="B55" s="14">
        <v>1</v>
      </c>
      <c r="C55" s="15"/>
      <c r="D55" s="14" t="s">
        <v>309</v>
      </c>
      <c r="E55" s="15" t="s">
        <v>491</v>
      </c>
      <c r="F55" s="16" t="s">
        <v>401</v>
      </c>
      <c r="G55" s="68" t="s">
        <v>442</v>
      </c>
      <c r="H55" s="17"/>
      <c r="I55" s="90" t="s">
        <v>458</v>
      </c>
      <c r="J55" s="14" t="s">
        <v>404</v>
      </c>
      <c r="K55" s="15" t="s">
        <v>492</v>
      </c>
      <c r="L55" s="18"/>
      <c r="M55" s="15"/>
      <c r="N55" s="15"/>
      <c r="O55" s="15"/>
      <c r="P55" s="15"/>
      <c r="Q55" s="15"/>
      <c r="R55" s="15"/>
      <c r="S55" s="15"/>
      <c r="T55" s="25"/>
      <c r="U55" s="15"/>
      <c r="V55" s="15"/>
      <c r="W55" s="15"/>
      <c r="X55" s="13"/>
      <c r="Y55" s="13"/>
      <c r="Z55" s="13"/>
      <c r="AA55" s="19"/>
    </row>
    <row r="56" s="13" customFormat="1" ht="24" spans="1:27">
      <c r="A56" s="67" t="s">
        <v>387</v>
      </c>
      <c r="B56" s="14">
        <v>2</v>
      </c>
      <c r="C56" s="15"/>
      <c r="D56" s="14" t="s">
        <v>314</v>
      </c>
      <c r="E56" s="15" t="s">
        <v>491</v>
      </c>
      <c r="F56" s="16" t="s">
        <v>467</v>
      </c>
      <c r="G56" s="68" t="s">
        <v>442</v>
      </c>
      <c r="H56" s="17"/>
      <c r="I56" s="90" t="s">
        <v>458</v>
      </c>
      <c r="J56" s="14" t="s">
        <v>471</v>
      </c>
      <c r="K56" s="15" t="s">
        <v>492</v>
      </c>
      <c r="L56" s="18"/>
      <c r="M56" s="15"/>
      <c r="N56" s="15"/>
      <c r="O56" s="15"/>
      <c r="P56" s="15"/>
      <c r="Q56" s="15"/>
      <c r="R56" s="15"/>
      <c r="S56" s="15"/>
      <c r="T56" s="25"/>
      <c r="U56" s="15"/>
      <c r="V56" s="15"/>
      <c r="W56" s="15"/>
      <c r="X56" s="13"/>
      <c r="Y56" s="13"/>
      <c r="Z56" s="13"/>
      <c r="AA56" s="19"/>
    </row>
    <row r="57" s="13" customFormat="1" ht="24" spans="1:27">
      <c r="A57" s="67" t="s">
        <v>387</v>
      </c>
      <c r="B57" s="14">
        <v>3</v>
      </c>
      <c r="C57" s="15"/>
      <c r="D57" s="14" t="s">
        <v>315</v>
      </c>
      <c r="E57" s="15" t="s">
        <v>491</v>
      </c>
      <c r="F57" s="15" t="s">
        <v>436</v>
      </c>
      <c r="G57" s="68" t="s">
        <v>442</v>
      </c>
      <c r="H57" s="17"/>
      <c r="I57" s="90" t="s">
        <v>458</v>
      </c>
      <c r="J57" s="14" t="s">
        <v>404</v>
      </c>
      <c r="K57" s="15" t="s">
        <v>492</v>
      </c>
      <c r="L57" s="18"/>
      <c r="M57" s="15"/>
      <c r="N57" s="15"/>
      <c r="O57" s="15"/>
      <c r="P57" s="15"/>
      <c r="Q57" s="15"/>
      <c r="R57" s="15"/>
      <c r="S57" s="15"/>
      <c r="T57" s="25"/>
      <c r="U57" s="15"/>
      <c r="V57" s="15"/>
      <c r="W57" s="15"/>
      <c r="X57" s="13"/>
      <c r="Y57" s="13"/>
      <c r="Z57" s="13"/>
      <c r="AA57" s="19"/>
    </row>
    <row r="58" s="13" customFormat="1" ht="12" spans="1:27">
      <c r="A58" s="14"/>
      <c r="B58" s="14"/>
      <c r="C58" s="15"/>
      <c r="D58" s="14"/>
      <c r="E58" s="15"/>
      <c r="F58" s="16"/>
      <c r="G58" s="16"/>
      <c r="H58" s="17"/>
      <c r="I58" s="14"/>
      <c r="J58" s="14"/>
      <c r="K58" s="15"/>
      <c r="L58" s="18"/>
      <c r="M58" s="15"/>
      <c r="N58" s="15"/>
      <c r="O58" s="15"/>
      <c r="P58" s="16"/>
      <c r="Q58" s="15"/>
      <c r="R58" s="15"/>
      <c r="S58" s="15"/>
      <c r="T58" s="25"/>
      <c r="U58" s="15"/>
      <c r="V58" s="15"/>
      <c r="W58" s="15"/>
      <c r="X58" s="13"/>
      <c r="Y58" s="13"/>
      <c r="Z58" s="13"/>
      <c r="AA58" s="19"/>
    </row>
  </sheetData>
  <dataValidations count="1">
    <dataValidation type="custom" allowBlank="1" showInputMessage="1" showErrorMessage="1" sqref="L2:L1048576">
      <formula1>"允许条件：自定义公式 公式输入：=AND(     LEN(B1)=10,      ISNUMBER(FIND(""-"",B1)),      ISNUMBER(VALUE(LEFT(B1,4))),      ISNUMBER(VALUE(MID(B1,6,2))),   /n标题：格式错误 内容：请输入YYYY-MM-DD格式的日期（如2025-07-04）   ISNUMBER(VALUE(RIGHT(B1,2))) )"</formula1>
    </dataValidation>
  </dataValidation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查询sql"/>
  <dimension ref="A1:C6"/>
  <sheetViews>
    <sheetView workbookViewId="0">
      <selection activeCell="A1" sqref="A1"/>
    </sheetView>
  </sheetViews>
  <sheetFormatPr defaultColWidth="14" defaultRowHeight="18" customHeight="1" outlineLevelRow="5" outlineLevelCol="2"/>
  <cols>
    <col min="1" max="1" width="56.6481481481481" customWidth="1"/>
    <col min="2" max="2" width="43.0277777777778" customWidth="1"/>
  </cols>
  <sheetData>
    <row r="1" customHeight="1" spans="1:2">
      <c r="A1" t="s">
        <v>1140</v>
      </c>
      <c r="B1" t="s">
        <v>374</v>
      </c>
    </row>
    <row r="2" customHeight="1" spans="1:3">
      <c r="A2" s="1" t="s">
        <v>1141</v>
      </c>
      <c r="B2" s="1" t="s">
        <v>1142</v>
      </c>
      <c r="C2" t="s">
        <v>1143</v>
      </c>
    </row>
    <row r="3" customHeight="1" spans="1:3">
      <c r="A3" s="1" t="s">
        <v>1144</v>
      </c>
      <c r="B3" s="1" t="s">
        <v>1145</v>
      </c>
      <c r="C3" t="s">
        <v>1143</v>
      </c>
    </row>
    <row r="4" customHeight="1" spans="1:3">
      <c r="A4" t="s">
        <v>1146</v>
      </c>
      <c r="B4" s="1" t="s">
        <v>1147</v>
      </c>
      <c r="C4" t="s">
        <v>1143</v>
      </c>
    </row>
    <row r="5" customHeight="1" spans="2:2">
      <c r="B5" s="1" t="s">
        <v>1148</v>
      </c>
    </row>
    <row r="6" customHeight="1" spans="2:2">
      <c r="B6" s="1" t="s">
        <v>1149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只有测试场景</vt:lpstr>
      <vt:lpstr>机构组合关系</vt:lpstr>
      <vt:lpstr>风控点及对应场景</vt:lpstr>
      <vt:lpstr>风控单位</vt:lpstr>
      <vt:lpstr>用例库（流水数据）</vt:lpstr>
      <vt:lpstr>债券风控点(二期)</vt:lpstr>
      <vt:lpstr>债券用例库</vt:lpstr>
      <vt:lpstr>基金用例库</vt:lpstr>
      <vt:lpstr>基金风控点(二期)</vt:lpstr>
      <vt:lpstr>数据字典</vt:lpstr>
      <vt:lpstr>风控点</vt:lpstr>
      <vt:lpstr>债券-风控自动化测试（一期）</vt:lpstr>
      <vt:lpstr>基金-风控自动化测试（一期）</vt:lpstr>
      <vt:lpstr>接口自动化（一期）</vt:lpstr>
      <vt:lpstr>人力投入统计</vt:lpstr>
      <vt:lpstr>自动化覆盖范围沟通</vt:lpstr>
      <vt:lpstr>自动化项目计划</vt:lpstr>
      <vt:lpstr>产品体验反馈问题汇总7.2</vt:lpstr>
      <vt:lpstr>产品二期体验问题记录7.17</vt:lpstr>
      <vt:lpstr>test-潘辉</vt:lpstr>
      <vt:lpstr>查询sql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WPS_1656980076</cp:lastModifiedBy>
  <dcterms:created xsi:type="dcterms:W3CDTF">2025-09-22T11:03:00Z</dcterms:created>
  <dcterms:modified xsi:type="dcterms:W3CDTF">2025-09-22T07:06:16Z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BEB4339D9E7040D3AF72055A9EFCC5BC_12</vt:lpwstr>
  </property>
  <property fmtid="{D5CDD505-2E9C-101B-9397-08002B2CF9AE}" pid="3" name="KSOProductBuildVer">
    <vt:lpwstr>2052-12.1.0.22529</vt:lpwstr>
  </property>
</Properties>
</file>